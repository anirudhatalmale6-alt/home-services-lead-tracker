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racker" sheetId="2" state="visible" r:id="rId2"/>
    <sheet name="Expense Tracker" sheetId="3" state="visible" r:id="rId3"/>
    <sheet name="Employee Salaries" sheetId="4" state="visible" r:id="rId4"/>
    <sheet name="Contractor Payments" sheetId="5" state="visible" r:id="rId5"/>
    <sheet name="Stock Purchases" sheetId="6" state="visible" r:id="rId6"/>
    <sheet name="Machines &amp; Equipment" sheetId="7" state="visible" r:id="rId7"/>
    <sheet name="Machine Maintenance" sheetId="8" state="visible" r:id="rId8"/>
    <sheet name="Chemicals Stock" sheetId="9" state="visible" r:id="rId9"/>
    <sheet name="Accessories Stock" sheetId="10" state="visible" r:id="rId10"/>
    <sheet name="Stock Transactions" sheetId="11" state="visible" r:id="rId11"/>
    <sheet name="GST Invoices" sheetId="12" state="visible" r:id="rId12"/>
    <sheet name="Income Summary" sheetId="13" state="visible" r:id="rId13"/>
    <sheet name="Expense Summary" sheetId="14" state="visible" r:id="rId14"/>
    <sheet name="GST Summary" sheetId="15" state="visible" r:id="rId15"/>
    <sheet name="TDS Summary" sheetId="16" state="visible" r:id="rId16"/>
    <sheet name="Stock Reports" sheetId="17" state="visible" r:id="rId17"/>
    <sheet name="Profitability Report" sheetId="18" state="visible" r:id="rId18"/>
    <sheet name="Dashboard" sheetId="19" state="visible" r:id="rId19"/>
  </sheets>
  <definedNames>
    <definedName name="_xlnm._FilterDatabase" localSheetId="1" hidden="1">'Income Tracker'!$A$1:$P$16</definedName>
    <definedName name="_xlnm._FilterDatabase" localSheetId="2" hidden="1">'Expense Tracker'!$A$1:$L$16</definedName>
    <definedName name="_xlnm._FilterDatabase" localSheetId="3" hidden="1">'Employee Salaries'!$A$1:$R$9</definedName>
    <definedName name="_xlnm._FilterDatabase" localSheetId="4" hidden="1">'Contractor Payments'!$A$1:$O$9</definedName>
    <definedName name="_xlnm._FilterDatabase" localSheetId="5" hidden="1">'Stock Purchases'!$A$1:$P$11</definedName>
    <definedName name="_xlnm._FilterDatabase" localSheetId="6" hidden="1">'Machines &amp; Equipment'!$A$1:$N$9</definedName>
    <definedName name="_xlnm._FilterDatabase" localSheetId="7" hidden="1">'Machine Maintenance'!$A$1:$M$6</definedName>
    <definedName name="_xlnm._FilterDatabase" localSheetId="8" hidden="1">'Chemicals Stock'!$A$1:$N$6</definedName>
    <definedName name="_xlnm._FilterDatabase" localSheetId="9" hidden="1">'Accessories Stock'!$A$1:$M$6</definedName>
    <definedName name="_xlnm._FilterDatabase" localSheetId="10" hidden="1">'Stock Transactions'!$A$1:$N$6</definedName>
    <definedName name="_xlnm._FilterDatabase" localSheetId="11" hidden="1">'GST Invoices'!$A$1:$K$11</definedName>
    <definedName name="_xlnm._FilterDatabase" localSheetId="12" hidden="1">'Income Summary'!$A$4:$F$13</definedName>
    <definedName name="_xlnm._FilterDatabase" localSheetId="13" hidden="1">'Expense Summary'!$A$4:$E$10</definedName>
    <definedName name="_xlnm._FilterDatabase" localSheetId="16" hidden="1">'Stock Reports'!$A$4:$G$10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0.0%"/>
  </numFmts>
  <fonts count="2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b val="1"/>
      <color rgb="00008000"/>
      <sz val="12"/>
    </font>
    <font>
      <b val="1"/>
      <color rgb="00008000"/>
    </font>
    <font>
      <b val="1"/>
      <color rgb="00FF0000"/>
      <sz val="12"/>
    </font>
    <font>
      <b val="1"/>
      <color rgb="00FF0000"/>
    </font>
    <font>
      <b val="1"/>
      <color rgb="001F4E79"/>
      <sz val="12"/>
    </font>
    <font>
      <b val="1"/>
      <sz val="14"/>
    </font>
    <font>
      <i val="1"/>
      <color rgb="00666666"/>
    </font>
    <font>
      <b val="1"/>
      <color rgb="000066CC"/>
      <sz val="12"/>
    </font>
    <font>
      <b val="1"/>
      <color rgb="00FF6600"/>
      <sz val="12"/>
    </font>
    <font>
      <b val="1"/>
      <color rgb="00FFFFFF"/>
      <sz val="12"/>
    </font>
    <font>
      <color rgb="00008000"/>
    </font>
    <font>
      <color rgb="00FF0000"/>
    </font>
    <font>
      <b val="1"/>
      <color rgb="001F4E79"/>
    </font>
    <font>
      <color rgb="001F4E79"/>
    </font>
    <font>
      <b val="1"/>
      <color rgb="00006600"/>
      <sz val="14"/>
    </font>
    <font>
      <b val="1"/>
      <color rgb="00FFFFFF"/>
      <sz val="24"/>
    </font>
    <font>
      <b val="1"/>
      <color rgb="00FFFFFF"/>
      <sz val="14"/>
    </font>
    <font>
      <i val="1"/>
      <color rgb="00008000"/>
      <sz val="10"/>
    </font>
    <font>
      <b val="1"/>
      <sz val="18"/>
    </font>
    <font>
      <b val="1"/>
      <color rgb="00006600"/>
      <sz val="18"/>
    </font>
    <font>
      <b val="1"/>
      <color rgb="00006600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CC"/>
      </patternFill>
    </fill>
    <fill>
      <patternFill patternType="solid">
        <fgColor rgb="00660066"/>
      </patternFill>
    </fill>
    <fill>
      <patternFill patternType="solid">
        <fgColor rgb="00E6D5E6"/>
      </patternFill>
    </fill>
    <fill>
      <patternFill patternType="solid">
        <fgColor rgb="00C6EFCE"/>
      </patternFill>
    </fill>
    <fill>
      <patternFill patternType="solid">
        <fgColor rgb="00FF6600"/>
      </patternFill>
    </fill>
    <fill>
      <patternFill patternType="solid">
        <fgColor rgb="00FFF2CC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FD7E14"/>
      </patternFill>
    </fill>
    <fill>
      <patternFill patternType="solid">
        <fgColor rgb="0017A2B8"/>
      </patternFill>
    </fill>
    <fill>
      <patternFill patternType="solid">
        <fgColor rgb="006F42C1"/>
      </patternFill>
    </fill>
    <fill>
      <patternFill patternType="solid">
        <fgColor rgb="00007BFF"/>
      </patternFill>
    </fill>
    <fill>
      <patternFill patternType="solid">
        <fgColor rgb="0020C997"/>
      </patternFill>
    </fill>
    <fill>
      <patternFill patternType="solid">
        <fgColor rgb="00E83E8C"/>
      </patternFill>
    </fill>
    <fill>
      <patternFill patternType="solid">
        <fgColor rgb="006C757D"/>
      </patternFill>
    </fill>
    <fill>
      <patternFill patternType="solid">
        <fgColor rgb="00343A4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9" fontId="0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167" fontId="0" fillId="3" borderId="1" pivotButton="0" quotePrefix="0" xfId="0"/>
    <xf numFmtId="167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6" fontId="5" fillId="0" borderId="1" pivotButton="0" quotePrefix="0" xfId="0"/>
    <xf numFmtId="0" fontId="5" fillId="3" borderId="1" pivotButton="0" quotePrefix="0" xfId="0"/>
    <xf numFmtId="166" fontId="5" fillId="3" borderId="1" pivotButton="0" quotePrefix="0" xfId="0"/>
    <xf numFmtId="0" fontId="6" fillId="0" borderId="0" pivotButton="0" quotePrefix="0" xfId="0"/>
    <xf numFmtId="166" fontId="7" fillId="3" borderId="1" pivotButton="0" quotePrefix="0" xfId="0"/>
    <xf numFmtId="0" fontId="8" fillId="0" borderId="0" pivotButton="0" quotePrefix="0" xfId="0"/>
    <xf numFmtId="166" fontId="9" fillId="0" borderId="1" pivotButton="0" quotePrefix="0" xfId="0"/>
    <xf numFmtId="0" fontId="10" fillId="0" borderId="0" pivotButton="0" quotePrefix="0" xfId="0"/>
    <xf numFmtId="166" fontId="0" fillId="0" borderId="0" pivotButton="0" quotePrefix="0" xfId="0"/>
    <xf numFmtId="166" fontId="9" fillId="0" borderId="0" pivotButton="0" quotePrefix="0" xfId="0"/>
    <xf numFmtId="0" fontId="11" fillId="0" borderId="0" pivotButton="0" quotePrefix="0" xfId="0"/>
    <xf numFmtId="166" fontId="3" fillId="4" borderId="0" pivotButton="0" quotePrefix="0" xfId="0"/>
    <xf numFmtId="0" fontId="12" fillId="0" borderId="0" pivotButton="0" quotePrefix="0" xfId="0"/>
    <xf numFmtId="166" fontId="9" fillId="3" borderId="1" pivotButton="0" quotePrefix="0" xfId="0"/>
    <xf numFmtId="0" fontId="5" fillId="0" borderId="0" pivotButton="0" quotePrefix="0" xfId="0"/>
    <xf numFmtId="166" fontId="5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6" borderId="1" pivotButton="0" quotePrefix="0" xfId="0"/>
    <xf numFmtId="166" fontId="0" fillId="6" borderId="1" pivotButton="0" quotePrefix="0" xfId="0"/>
    <xf numFmtId="0" fontId="5" fillId="6" borderId="1" pivotButton="0" quotePrefix="0" xfId="0"/>
    <xf numFmtId="166" fontId="5" fillId="6" borderId="1" pivotButton="0" quotePrefix="0" xfId="0"/>
    <xf numFmtId="166" fontId="9" fillId="6" borderId="1" pivotButton="0" quotePrefix="0" xfId="0"/>
    <xf numFmtId="166" fontId="16" fillId="0" borderId="1" pivotButton="0" quotePrefix="0" xfId="0"/>
    <xf numFmtId="166" fontId="17" fillId="0" borderId="1" pivotButton="0" quotePrefix="0" xfId="0"/>
    <xf numFmtId="166" fontId="17" fillId="3" borderId="1" pivotButton="0" quotePrefix="0" xfId="0"/>
    <xf numFmtId="0" fontId="20" fillId="3" borderId="1" pivotButton="0" quotePrefix="0" xfId="0"/>
    <xf numFmtId="166" fontId="18" fillId="0" borderId="1" pivotButton="0" quotePrefix="0" xfId="0"/>
    <xf numFmtId="167" fontId="19" fillId="0" borderId="1" pivotButton="0" quotePrefix="0" xfId="0"/>
    <xf numFmtId="0" fontId="21" fillId="2" borderId="0" applyAlignment="1" pivotButton="0" quotePrefix="0" xfId="0">
      <alignment horizontal="center" vertical="center"/>
    </xf>
    <xf numFmtId="0" fontId="22" fillId="8" borderId="0" pivotButton="0" quotePrefix="0" xfId="0"/>
    <xf numFmtId="0" fontId="5" fillId="0" borderId="0" applyAlignment="1" pivotButton="0" quotePrefix="0" xfId="0">
      <alignment horizontal="right" vertical="center"/>
    </xf>
    <xf numFmtId="165" fontId="0" fillId="9" borderId="2" pivotButton="0" quotePrefix="0" xfId="0"/>
    <xf numFmtId="0" fontId="23" fillId="0" borderId="0" pivotButton="0" quotePrefix="0" xfId="0"/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166" fontId="24" fillId="0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166" fontId="25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18" borderId="0" pivotButton="0" quotePrefix="0" xfId="0"/>
    <xf numFmtId="166" fontId="26" fillId="7" borderId="1" pivotButton="0" quotePrefix="0" xfId="0"/>
    <xf numFmtId="0" fontId="22" fillId="11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>
      <c r="A1" s="1" t="inlineStr"/>
    </row>
    <row r="2">
      <c r="A2" t="inlineStr"/>
    </row>
    <row r="3">
      <c r="A3" s="2" t="inlineStr">
        <is>
          <t>SHEET</t>
        </is>
      </c>
      <c r="B3" s="2" t="inlineStr">
        <is>
          <t>PURPOSE</t>
        </is>
      </c>
      <c r="C3" s="2" t="inlineStr">
        <is>
          <t>HOW TO USE</t>
        </is>
      </c>
    </row>
    <row r="4">
      <c r="A4" s="3" t="inlineStr">
        <is>
          <t>Income Tracker</t>
        </is>
      </c>
      <c r="B4" s="3" t="inlineStr">
        <is>
          <t>Record all service revenue with GST &amp; Discounts</t>
        </is>
      </c>
      <c r="C4" s="3" t="inlineStr">
        <is>
          <t>Enter each payment with service type</t>
        </is>
      </c>
    </row>
    <row r="5">
      <c r="A5" s="3" t="inlineStr">
        <is>
          <t>Expense Tracker</t>
        </is>
      </c>
      <c r="B5" s="3" t="inlineStr">
        <is>
          <t>Track all business expenses with GST</t>
        </is>
      </c>
      <c r="C5" s="3" t="inlineStr">
        <is>
          <t>Log every expense with category</t>
        </is>
      </c>
    </row>
    <row r="6">
      <c r="A6" s="3" t="inlineStr">
        <is>
          <t>Employee Salaries</t>
        </is>
      </c>
      <c r="B6" s="3" t="inlineStr">
        <is>
          <t>Track employee salary payments</t>
        </is>
      </c>
      <c r="C6" s="3" t="inlineStr">
        <is>
          <t>Monthly salary - PF/ESI/HRA default 0</t>
        </is>
      </c>
    </row>
    <row r="7">
      <c r="A7" s="3" t="inlineStr">
        <is>
          <t>Contractor Payments</t>
        </is>
      </c>
      <c r="B7" s="3" t="inlineStr">
        <is>
          <t>Track contractor payouts with TDS</t>
        </is>
      </c>
      <c r="C7" s="3" t="inlineStr">
        <is>
          <t>Gross amount, TDS deduction, net payable</t>
        </is>
      </c>
    </row>
    <row r="8">
      <c r="A8" s="3" t="inlineStr">
        <is>
          <t>Stock Purchases</t>
        </is>
      </c>
      <c r="B8" s="3" t="inlineStr">
        <is>
          <t>Track inventory purchases</t>
        </is>
      </c>
      <c r="C8" s="3" t="inlineStr">
        <is>
          <t>Vendor purchases with GST</t>
        </is>
      </c>
    </row>
    <row r="9">
      <c r="A9" s="3" t="inlineStr">
        <is>
          <t>Machines &amp; Equipment</t>
        </is>
      </c>
      <c r="B9" s="3" t="inlineStr">
        <is>
          <t>Asset register</t>
        </is>
      </c>
      <c r="C9" s="3" t="inlineStr">
        <is>
          <t>Add machines with Invoice &amp; GST details</t>
        </is>
      </c>
    </row>
    <row r="10">
      <c r="A10" s="3" t="inlineStr">
        <is>
          <t>Machine Maintenance</t>
        </is>
      </c>
      <c r="B10" s="3" t="inlineStr">
        <is>
          <t>Track repairs/servicing</t>
        </is>
      </c>
      <c r="C10" s="3" t="inlineStr">
        <is>
          <t>Log maintenance with status</t>
        </is>
      </c>
    </row>
    <row r="11">
      <c r="A11" s="3" t="inlineStr">
        <is>
          <t>Chemicals Stock</t>
        </is>
      </c>
      <c r="B11" s="3" t="inlineStr">
        <is>
          <t>Chemical inventory</t>
        </is>
      </c>
      <c r="C11" s="3" t="inlineStr">
        <is>
          <t>Track opening, added, used, closing stock</t>
        </is>
      </c>
    </row>
    <row r="12">
      <c r="A12" s="3" t="inlineStr">
        <is>
          <t>Accessories Stock</t>
        </is>
      </c>
      <c r="B12" s="3" t="inlineStr">
        <is>
          <t>Consumables inventory</t>
        </is>
      </c>
      <c r="C12" s="3" t="inlineStr">
        <is>
          <t>Track stock levels</t>
        </is>
      </c>
    </row>
    <row r="13">
      <c r="A13" s="3" t="inlineStr">
        <is>
          <t>Stock Transactions</t>
        </is>
      </c>
      <c r="B13" s="3" t="inlineStr">
        <is>
          <t>Stock movement log</t>
        </is>
      </c>
      <c r="C13" s="3" t="inlineStr">
        <is>
          <t>Record purchases and usage</t>
        </is>
      </c>
    </row>
    <row r="14">
      <c r="A14" s="3" t="inlineStr">
        <is>
          <t>GST Invoices</t>
        </is>
      </c>
      <c r="B14" s="3" t="inlineStr">
        <is>
          <t>Track GST payments</t>
        </is>
      </c>
      <c r="C14" s="3" t="inlineStr">
        <is>
          <t>Invoice-wise GST paid/pending status</t>
        </is>
      </c>
    </row>
    <row r="15">
      <c r="A15" s="3" t="inlineStr">
        <is>
          <t>Income Summary</t>
        </is>
      </c>
      <c r="B15" s="3" t="inlineStr">
        <is>
          <t>Revenue reports</t>
        </is>
      </c>
      <c r="C15" s="3" t="inlineStr">
        <is>
          <t>Auto-calculated with filters</t>
        </is>
      </c>
    </row>
    <row r="16">
      <c r="A16" s="3" t="inlineStr">
        <is>
          <t>Expense Summary</t>
        </is>
      </c>
      <c r="B16" s="3" t="inlineStr">
        <is>
          <t>Expense reports</t>
        </is>
      </c>
      <c r="C16" s="3" t="inlineStr">
        <is>
          <t>Auto-calculated with filters</t>
        </is>
      </c>
    </row>
    <row r="17">
      <c r="A17" s="3" t="inlineStr">
        <is>
          <t>GST Summary</t>
        </is>
      </c>
      <c r="B17" s="3" t="inlineStr">
        <is>
          <t>GST collected vs paid</t>
        </is>
      </c>
      <c r="C17" s="3" t="inlineStr">
        <is>
          <t>For GST filing reference</t>
        </is>
      </c>
    </row>
    <row r="18">
      <c r="A18" s="3" t="inlineStr">
        <is>
          <t>TDS Summary</t>
        </is>
      </c>
      <c r="B18" s="3" t="inlineStr">
        <is>
          <t>TDS deducted from contractors</t>
        </is>
      </c>
      <c r="C18" s="3" t="inlineStr">
        <is>
          <t>For TDS filing reference</t>
        </is>
      </c>
    </row>
    <row r="19">
      <c r="A19" s="3" t="inlineStr">
        <is>
          <t>Stock Reports</t>
        </is>
      </c>
      <c r="B19" s="3" t="inlineStr">
        <is>
          <t>Detailed stock summaries</t>
        </is>
      </c>
      <c r="C19" s="3" t="inlineStr">
        <is>
          <t>Item-wise stock values with filters</t>
        </is>
      </c>
    </row>
    <row r="20">
      <c r="A20" s="3" t="inlineStr">
        <is>
          <t>Profitability Report</t>
        </is>
      </c>
      <c r="B20" s="3" t="inlineStr">
        <is>
          <t>Profit analysis</t>
        </is>
      </c>
      <c r="C20" s="3" t="inlineStr">
        <is>
          <t>Shows actual NET PROFIT</t>
        </is>
      </c>
    </row>
    <row r="21">
      <c r="A21" s="3" t="inlineStr">
        <is>
          <t>Dashboard</t>
        </is>
      </c>
      <c r="B21" s="3" t="inlineStr">
        <is>
          <t>Visual overview</t>
        </is>
      </c>
      <c r="C21" s="3" t="inlineStr">
        <is>
          <t>Key metrics with DATE FILTERS</t>
        </is>
      </c>
    </row>
    <row r="22">
      <c r="A22" s="3" t="n"/>
      <c r="B22" s="3" t="n"/>
      <c r="C22" s="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Project Type</t>
        </is>
      </c>
      <c r="F1" s="2" t="inlineStr">
        <is>
          <t>Project Name</t>
        </is>
      </c>
      <c r="G1" s="2" t="inlineStr">
        <is>
          <t>Base Amount (₹)</t>
        </is>
      </c>
      <c r="H1" s="2" t="inlineStr">
        <is>
          <t>Discount %</t>
        </is>
      </c>
      <c r="I1" s="2" t="inlineStr">
        <is>
          <t>Discount Amount (₹)</t>
        </is>
      </c>
      <c r="J1" s="2" t="inlineStr">
        <is>
          <t>Amount After Discount (₹)</t>
        </is>
      </c>
      <c r="K1" s="2" t="inlineStr">
        <is>
          <t>GST %</t>
        </is>
      </c>
      <c r="L1" s="2" t="inlineStr">
        <is>
          <t>GST Amount (₹)</t>
        </is>
      </c>
      <c r="M1" s="2" t="inlineStr">
        <is>
          <t>Total Amount (₹)</t>
        </is>
      </c>
      <c r="N1" s="2" t="inlineStr">
        <is>
          <t>Payment Mode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4" t="n">
        <v>45658</v>
      </c>
      <c r="B2" s="5" t="inlineStr">
        <is>
          <t>INV-2025-1001</t>
        </is>
      </c>
      <c r="C2" s="5" t="inlineStr">
        <is>
          <t>Rajesh Kumar</t>
        </is>
      </c>
      <c r="D2" s="5" t="inlineStr">
        <is>
          <t>Carpentry</t>
        </is>
      </c>
      <c r="E2" s="5" t="inlineStr">
        <is>
          <t>Individual</t>
        </is>
      </c>
      <c r="F2" s="5" t="inlineStr"/>
      <c r="G2" s="6" t="n">
        <v>22131</v>
      </c>
      <c r="H2" s="7" t="n">
        <v>0.05</v>
      </c>
      <c r="I2" s="6">
        <f>G2*H2</f>
        <v/>
      </c>
      <c r="J2" s="6">
        <f>G2-I2</f>
        <v/>
      </c>
      <c r="K2" s="7" t="n">
        <v>0.18</v>
      </c>
      <c r="L2" s="6">
        <f>J2*K2</f>
        <v/>
      </c>
      <c r="M2" s="6">
        <f>J2+L2</f>
        <v/>
      </c>
      <c r="N2" s="5" t="inlineStr">
        <is>
          <t>UPI</t>
        </is>
      </c>
      <c r="O2" s="5" t="inlineStr">
        <is>
          <t>Pending</t>
        </is>
      </c>
      <c r="P2" s="5" t="n"/>
    </row>
    <row r="3">
      <c r="A3" s="8" t="n">
        <v>45680</v>
      </c>
      <c r="B3" s="3" t="inlineStr">
        <is>
          <t>INV-2025-1002</t>
        </is>
      </c>
      <c r="C3" s="3" t="inlineStr">
        <is>
          <t>Priya Sharma</t>
        </is>
      </c>
      <c r="D3" s="3" t="inlineStr">
        <is>
          <t>Painting</t>
        </is>
      </c>
      <c r="E3" s="3" t="inlineStr">
        <is>
          <t>Apartment Bulk</t>
        </is>
      </c>
      <c r="F3" s="3" t="inlineStr">
        <is>
          <t>Green Valley Apartments</t>
        </is>
      </c>
      <c r="G3" s="9" t="n">
        <v>168243</v>
      </c>
      <c r="H3" s="10" t="n">
        <v>0</v>
      </c>
      <c r="I3" s="9">
        <f>G3*H3</f>
        <v/>
      </c>
      <c r="J3" s="9">
        <f>G3-I3</f>
        <v/>
      </c>
      <c r="K3" s="10" t="n">
        <v>0.18</v>
      </c>
      <c r="L3" s="9">
        <f>J3*K3</f>
        <v/>
      </c>
      <c r="M3" s="9">
        <f>J3+L3</f>
        <v/>
      </c>
      <c r="N3" s="3" t="inlineStr">
        <is>
          <t>Cash</t>
        </is>
      </c>
      <c r="O3" s="3" t="inlineStr">
        <is>
          <t>Pending</t>
        </is>
      </c>
      <c r="P3" s="3" t="n"/>
    </row>
    <row r="4">
      <c r="A4" s="4" t="n">
        <v>45681</v>
      </c>
      <c r="B4" s="5" t="inlineStr">
        <is>
          <t>INV-2025-1003</t>
        </is>
      </c>
      <c r="C4" s="5" t="inlineStr">
        <is>
          <t>Amit Patel</t>
        </is>
      </c>
      <c r="D4" s="5" t="inlineStr">
        <is>
          <t>AC Service</t>
        </is>
      </c>
      <c r="E4" s="5" t="inlineStr">
        <is>
          <t>Individual</t>
        </is>
      </c>
      <c r="F4" s="5" t="inlineStr"/>
      <c r="G4" s="6" t="n">
        <v>12670</v>
      </c>
      <c r="H4" s="7" t="n">
        <v>0</v>
      </c>
      <c r="I4" s="6">
        <f>G4*H4</f>
        <v/>
      </c>
      <c r="J4" s="6">
        <f>G4-I4</f>
        <v/>
      </c>
      <c r="K4" s="7" t="n">
        <v>0.18</v>
      </c>
      <c r="L4" s="6">
        <f>J4*K4</f>
        <v/>
      </c>
      <c r="M4" s="6">
        <f>J4+L4</f>
        <v/>
      </c>
      <c r="N4" s="5" t="inlineStr">
        <is>
          <t>Cash</t>
        </is>
      </c>
      <c r="O4" s="5" t="inlineStr">
        <is>
          <t>Received</t>
        </is>
      </c>
      <c r="P4" s="5" t="n"/>
    </row>
    <row r="5">
      <c r="A5" s="8" t="n">
        <v>45662</v>
      </c>
      <c r="B5" s="3" t="inlineStr">
        <is>
          <t>INV-2025-1004</t>
        </is>
      </c>
      <c r="C5" s="3" t="inlineStr">
        <is>
          <t>Sunita Reddy</t>
        </is>
      </c>
      <c r="D5" s="3" t="inlineStr">
        <is>
          <t>Electrical</t>
        </is>
      </c>
      <c r="E5" s="3" t="inlineStr">
        <is>
          <t>Apartment Bulk</t>
        </is>
      </c>
      <c r="F5" s="3" t="inlineStr">
        <is>
          <t>Green Valley Apartments</t>
        </is>
      </c>
      <c r="G5" s="9" t="n">
        <v>170869</v>
      </c>
      <c r="H5" s="10" t="n">
        <v>0</v>
      </c>
      <c r="I5" s="9">
        <f>G5*H5</f>
        <v/>
      </c>
      <c r="J5" s="9">
        <f>G5-I5</f>
        <v/>
      </c>
      <c r="K5" s="10" t="n">
        <v>0.18</v>
      </c>
      <c r="L5" s="9">
        <f>J5*K5</f>
        <v/>
      </c>
      <c r="M5" s="9">
        <f>J5+L5</f>
        <v/>
      </c>
      <c r="N5" s="3" t="inlineStr">
        <is>
          <t>Cash</t>
        </is>
      </c>
      <c r="O5" s="3" t="inlineStr">
        <is>
          <t>Pending</t>
        </is>
      </c>
      <c r="P5" s="3" t="n"/>
    </row>
    <row r="6">
      <c r="A6" s="4" t="n">
        <v>45663</v>
      </c>
      <c r="B6" s="5" t="inlineStr">
        <is>
          <t>INV-2025-1005</t>
        </is>
      </c>
      <c r="C6" s="5" t="inlineStr">
        <is>
          <t>Vikram Singh</t>
        </is>
      </c>
      <c r="D6" s="5" t="inlineStr">
        <is>
          <t>Electrical</t>
        </is>
      </c>
      <c r="E6" s="5" t="inlineStr">
        <is>
          <t>Apartment Bulk</t>
        </is>
      </c>
      <c r="F6" s="5" t="inlineStr">
        <is>
          <t>Green Valley Apartments</t>
        </is>
      </c>
      <c r="G6" s="6" t="n">
        <v>67750</v>
      </c>
      <c r="H6" s="7" t="n">
        <v>0</v>
      </c>
      <c r="I6" s="6">
        <f>G6*H6</f>
        <v/>
      </c>
      <c r="J6" s="6">
        <f>G6-I6</f>
        <v/>
      </c>
      <c r="K6" s="7" t="n">
        <v>0.18</v>
      </c>
      <c r="L6" s="6">
        <f>J6*K6</f>
        <v/>
      </c>
      <c r="M6" s="6">
        <f>J6+L6</f>
        <v/>
      </c>
      <c r="N6" s="5" t="inlineStr">
        <is>
          <t>Card</t>
        </is>
      </c>
      <c r="O6" s="5" t="inlineStr">
        <is>
          <t>Received</t>
        </is>
      </c>
      <c r="P6" s="5" t="n"/>
    </row>
    <row r="7">
      <c r="A7" s="8" t="n">
        <v>45666</v>
      </c>
      <c r="B7" s="3" t="inlineStr">
        <is>
          <t>INV-2025-1006</t>
        </is>
      </c>
      <c r="C7" s="3" t="inlineStr">
        <is>
          <t>Deepa Nair</t>
        </is>
      </c>
      <c r="D7" s="3" t="inlineStr">
        <is>
          <t>Deep Cleaning</t>
        </is>
      </c>
      <c r="E7" s="3" t="inlineStr">
        <is>
          <t>Individual</t>
        </is>
      </c>
      <c r="F7" s="3" t="inlineStr"/>
      <c r="G7" s="9" t="n">
        <v>12004</v>
      </c>
      <c r="H7" s="10" t="n">
        <v>0</v>
      </c>
      <c r="I7" s="9">
        <f>G7*H7</f>
        <v/>
      </c>
      <c r="J7" s="9">
        <f>G7-I7</f>
        <v/>
      </c>
      <c r="K7" s="10" t="n">
        <v>0.18</v>
      </c>
      <c r="L7" s="9">
        <f>J7*K7</f>
        <v/>
      </c>
      <c r="M7" s="9">
        <f>J7+L7</f>
        <v/>
      </c>
      <c r="N7" s="3" t="inlineStr">
        <is>
          <t>UPI</t>
        </is>
      </c>
      <c r="O7" s="3" t="inlineStr">
        <is>
          <t>Pending</t>
        </is>
      </c>
      <c r="P7" s="3" t="n"/>
    </row>
    <row r="8">
      <c r="A8" s="4" t="n">
        <v>45664</v>
      </c>
      <c r="B8" s="5" t="inlineStr">
        <is>
          <t>INV-2025-1007</t>
        </is>
      </c>
      <c r="C8" s="5" t="inlineStr">
        <is>
          <t>Karthik Iyer</t>
        </is>
      </c>
      <c r="D8" s="5" t="inlineStr">
        <is>
          <t>Deep Cleaning</t>
        </is>
      </c>
      <c r="E8" s="5" t="inlineStr">
        <is>
          <t>Apartment Bulk</t>
        </is>
      </c>
      <c r="F8" s="5" t="inlineStr">
        <is>
          <t>Green Valley Apartments</t>
        </is>
      </c>
      <c r="G8" s="6" t="n">
        <v>78098</v>
      </c>
      <c r="H8" s="7" t="n">
        <v>0</v>
      </c>
      <c r="I8" s="6">
        <f>G8*H8</f>
        <v/>
      </c>
      <c r="J8" s="6">
        <f>G8-I8</f>
        <v/>
      </c>
      <c r="K8" s="7" t="n">
        <v>0.18</v>
      </c>
      <c r="L8" s="6">
        <f>J8*K8</f>
        <v/>
      </c>
      <c r="M8" s="6">
        <f>J8+L8</f>
        <v/>
      </c>
      <c r="N8" s="5" t="inlineStr">
        <is>
          <t>UPI</t>
        </is>
      </c>
      <c r="O8" s="5" t="inlineStr">
        <is>
          <t>Received</t>
        </is>
      </c>
      <c r="P8" s="5" t="n"/>
    </row>
    <row r="9">
      <c r="A9" s="8" t="n">
        <v>45667</v>
      </c>
      <c r="B9" s="3" t="inlineStr">
        <is>
          <t>INV-2025-1008</t>
        </is>
      </c>
      <c r="C9" s="3" t="inlineStr">
        <is>
          <t>Meena Gupta</t>
        </is>
      </c>
      <c r="D9" s="3" t="inlineStr">
        <is>
          <t>Plumbing</t>
        </is>
      </c>
      <c r="E9" s="3" t="inlineStr">
        <is>
          <t>Individual</t>
        </is>
      </c>
      <c r="F9" s="3" t="inlineStr"/>
      <c r="G9" s="9" t="n">
        <v>18298</v>
      </c>
      <c r="H9" s="10" t="n">
        <v>0</v>
      </c>
      <c r="I9" s="9">
        <f>G9*H9</f>
        <v/>
      </c>
      <c r="J9" s="9">
        <f>G9-I9</f>
        <v/>
      </c>
      <c r="K9" s="10" t="n">
        <v>0.18</v>
      </c>
      <c r="L9" s="9">
        <f>J9*K9</f>
        <v/>
      </c>
      <c r="M9" s="9">
        <f>J9+L9</f>
        <v/>
      </c>
      <c r="N9" s="3" t="inlineStr">
        <is>
          <t>UPI</t>
        </is>
      </c>
      <c r="O9" s="3" t="inlineStr">
        <is>
          <t>Received</t>
        </is>
      </c>
      <c r="P9" s="3" t="n"/>
    </row>
    <row r="10">
      <c r="A10" s="4" t="n">
        <v>45676</v>
      </c>
      <c r="B10" s="5" t="inlineStr">
        <is>
          <t>INV-2025-1009</t>
        </is>
      </c>
      <c r="C10" s="5" t="inlineStr">
        <is>
          <t>Rahul Verma</t>
        </is>
      </c>
      <c r="D10" s="5" t="inlineStr">
        <is>
          <t>Plumbing</t>
        </is>
      </c>
      <c r="E10" s="5" t="inlineStr">
        <is>
          <t>Apartment Bulk</t>
        </is>
      </c>
      <c r="F10" s="5" t="inlineStr">
        <is>
          <t>Green Valley Apartments</t>
        </is>
      </c>
      <c r="G10" s="6" t="n">
        <v>151520</v>
      </c>
      <c r="H10" s="7" t="n">
        <v>0.05</v>
      </c>
      <c r="I10" s="6">
        <f>G10*H10</f>
        <v/>
      </c>
      <c r="J10" s="6">
        <f>G10-I10</f>
        <v/>
      </c>
      <c r="K10" s="7" t="n">
        <v>0.18</v>
      </c>
      <c r="L10" s="6">
        <f>J10*K10</f>
        <v/>
      </c>
      <c r="M10" s="6">
        <f>J10+L10</f>
        <v/>
      </c>
      <c r="N10" s="5" t="inlineStr">
        <is>
          <t>UPI</t>
        </is>
      </c>
      <c r="O10" s="5" t="inlineStr">
        <is>
          <t>Received</t>
        </is>
      </c>
      <c r="P10" s="5" t="n"/>
    </row>
    <row r="11">
      <c r="A11" s="8" t="n">
        <v>45682</v>
      </c>
      <c r="B11" s="3" t="inlineStr">
        <is>
          <t>INV-2025-1010</t>
        </is>
      </c>
      <c r="C11" s="3" t="inlineStr">
        <is>
          <t>Anjali Menon</t>
        </is>
      </c>
      <c r="D11" s="3" t="inlineStr">
        <is>
          <t>Pest Control</t>
        </is>
      </c>
      <c r="E11" s="3" t="inlineStr">
        <is>
          <t>Apartment Bulk</t>
        </is>
      </c>
      <c r="F11" s="3" t="inlineStr">
        <is>
          <t>Green Valley Apartments</t>
        </is>
      </c>
      <c r="G11" s="9" t="n">
        <v>171101</v>
      </c>
      <c r="H11" s="10" t="n">
        <v>0.05</v>
      </c>
      <c r="I11" s="9">
        <f>G11*H11</f>
        <v/>
      </c>
      <c r="J11" s="9">
        <f>G11-I11</f>
        <v/>
      </c>
      <c r="K11" s="10" t="n">
        <v>0.18</v>
      </c>
      <c r="L11" s="9">
        <f>J11*K11</f>
        <v/>
      </c>
      <c r="M11" s="9">
        <f>J11+L11</f>
        <v/>
      </c>
      <c r="N11" s="3" t="inlineStr">
        <is>
          <t>Bank Transfer</t>
        </is>
      </c>
      <c r="O11" s="3" t="inlineStr">
        <is>
          <t>Received</t>
        </is>
      </c>
      <c r="P11" s="3" t="n"/>
    </row>
    <row r="12">
      <c r="A12" s="4" t="n">
        <v>45682</v>
      </c>
      <c r="B12" s="5" t="inlineStr">
        <is>
          <t>INV-2025-1011</t>
        </is>
      </c>
      <c r="C12" s="5" t="inlineStr">
        <is>
          <t>Suresh Rao</t>
        </is>
      </c>
      <c r="D12" s="5" t="inlineStr">
        <is>
          <t>Carpentry</t>
        </is>
      </c>
      <c r="E12" s="5" t="inlineStr">
        <is>
          <t>Apartment Bulk</t>
        </is>
      </c>
      <c r="F12" s="5" t="inlineStr">
        <is>
          <t>Green Valley Apartments</t>
        </is>
      </c>
      <c r="G12" s="6" t="n">
        <v>156122</v>
      </c>
      <c r="H12" s="7" t="n">
        <v>0</v>
      </c>
      <c r="I12" s="6">
        <f>G12*H12</f>
        <v/>
      </c>
      <c r="J12" s="6">
        <f>G12-I12</f>
        <v/>
      </c>
      <c r="K12" s="7" t="n">
        <v>0.18</v>
      </c>
      <c r="L12" s="6">
        <f>J12*K12</f>
        <v/>
      </c>
      <c r="M12" s="6">
        <f>J12+L12</f>
        <v/>
      </c>
      <c r="N12" s="5" t="inlineStr">
        <is>
          <t>Bank Transfer</t>
        </is>
      </c>
      <c r="O12" s="5" t="inlineStr">
        <is>
          <t>Received</t>
        </is>
      </c>
      <c r="P12" s="5" t="n"/>
    </row>
    <row r="13">
      <c r="A13" s="8" t="n">
        <v>45660</v>
      </c>
      <c r="B13" s="3" t="inlineStr">
        <is>
          <t>INV-2025-1012</t>
        </is>
      </c>
      <c r="C13" s="3" t="inlineStr">
        <is>
          <t>Lakshmi Pillai</t>
        </is>
      </c>
      <c r="D13" s="3" t="inlineStr">
        <is>
          <t>Painting</t>
        </is>
      </c>
      <c r="E13" s="3" t="inlineStr">
        <is>
          <t>Individual</t>
        </is>
      </c>
      <c r="F13" s="3" t="inlineStr"/>
      <c r="G13" s="9" t="n">
        <v>22123</v>
      </c>
      <c r="H13" s="10" t="n">
        <v>0</v>
      </c>
      <c r="I13" s="9">
        <f>G13*H13</f>
        <v/>
      </c>
      <c r="J13" s="9">
        <f>G13-I13</f>
        <v/>
      </c>
      <c r="K13" s="10" t="n">
        <v>0.18</v>
      </c>
      <c r="L13" s="9">
        <f>J13*K13</f>
        <v/>
      </c>
      <c r="M13" s="9">
        <f>J13+L13</f>
        <v/>
      </c>
      <c r="N13" s="3" t="inlineStr">
        <is>
          <t>Cash</t>
        </is>
      </c>
      <c r="O13" s="3" t="inlineStr">
        <is>
          <t>Pending</t>
        </is>
      </c>
      <c r="P13" s="3" t="n"/>
    </row>
    <row r="14">
      <c r="A14" s="4" t="n">
        <v>45675</v>
      </c>
      <c r="B14" s="5" t="inlineStr">
        <is>
          <t>INV-2025-1013</t>
        </is>
      </c>
      <c r="C14" s="5" t="inlineStr">
        <is>
          <t>Arun Krishnan</t>
        </is>
      </c>
      <c r="D14" s="5" t="inlineStr">
        <is>
          <t>AC Service</t>
        </is>
      </c>
      <c r="E14" s="5" t="inlineStr">
        <is>
          <t>Apartment Bulk</t>
        </is>
      </c>
      <c r="F14" s="5" t="inlineStr">
        <is>
          <t>Green Valley Apartments</t>
        </is>
      </c>
      <c r="G14" s="6" t="n">
        <v>180436</v>
      </c>
      <c r="H14" s="7" t="n">
        <v>0</v>
      </c>
      <c r="I14" s="6">
        <f>G14*H14</f>
        <v/>
      </c>
      <c r="J14" s="6">
        <f>G14-I14</f>
        <v/>
      </c>
      <c r="K14" s="7" t="n">
        <v>0.18</v>
      </c>
      <c r="L14" s="6">
        <f>J14*K14</f>
        <v/>
      </c>
      <c r="M14" s="6">
        <f>J14+L14</f>
        <v/>
      </c>
      <c r="N14" s="5" t="inlineStr">
        <is>
          <t>Bank Transfer</t>
        </is>
      </c>
      <c r="O14" s="5" t="inlineStr">
        <is>
          <t>Received</t>
        </is>
      </c>
      <c r="P14" s="5" t="n"/>
    </row>
    <row r="15">
      <c r="A15" s="8" t="n">
        <v>45679</v>
      </c>
      <c r="B15" s="3" t="inlineStr">
        <is>
          <t>INV-2025-1014</t>
        </is>
      </c>
      <c r="C15" s="3" t="inlineStr">
        <is>
          <t>Kavitha Srinivasan</t>
        </is>
      </c>
      <c r="D15" s="3" t="inlineStr">
        <is>
          <t>Plumbing</t>
        </is>
      </c>
      <c r="E15" s="3" t="inlineStr">
        <is>
          <t>Individual</t>
        </is>
      </c>
      <c r="F15" s="3" t="inlineStr"/>
      <c r="G15" s="9" t="n">
        <v>24558</v>
      </c>
      <c r="H15" s="10" t="n">
        <v>0</v>
      </c>
      <c r="I15" s="9">
        <f>G15*H15</f>
        <v/>
      </c>
      <c r="J15" s="9">
        <f>G15-I15</f>
        <v/>
      </c>
      <c r="K15" s="10" t="n">
        <v>0.18</v>
      </c>
      <c r="L15" s="9">
        <f>J15*K15</f>
        <v/>
      </c>
      <c r="M15" s="9">
        <f>J15+L15</f>
        <v/>
      </c>
      <c r="N15" s="3" t="inlineStr">
        <is>
          <t>Card</t>
        </is>
      </c>
      <c r="O15" s="3" t="inlineStr">
        <is>
          <t>Pending</t>
        </is>
      </c>
      <c r="P15" s="3" t="n"/>
    </row>
    <row r="16">
      <c r="A16" s="4" t="n">
        <v>45679</v>
      </c>
      <c r="B16" s="5" t="inlineStr">
        <is>
          <t>INV-2025-1015</t>
        </is>
      </c>
      <c r="C16" s="5" t="inlineStr">
        <is>
          <t>Manoj Das</t>
        </is>
      </c>
      <c r="D16" s="5" t="inlineStr">
        <is>
          <t>Carpentry</t>
        </is>
      </c>
      <c r="E16" s="5" t="inlineStr">
        <is>
          <t>Apartment Bulk</t>
        </is>
      </c>
      <c r="F16" s="5" t="inlineStr">
        <is>
          <t>Green Valley Apartments</t>
        </is>
      </c>
      <c r="G16" s="6" t="n">
        <v>197777</v>
      </c>
      <c r="H16" s="7" t="n">
        <v>0.05</v>
      </c>
      <c r="I16" s="6">
        <f>G16*H16</f>
        <v/>
      </c>
      <c r="J16" s="6">
        <f>G16-I16</f>
        <v/>
      </c>
      <c r="K16" s="7" t="n">
        <v>0.18</v>
      </c>
      <c r="L16" s="6">
        <f>J16*K16</f>
        <v/>
      </c>
      <c r="M16" s="6">
        <f>J16+L16</f>
        <v/>
      </c>
      <c r="N16" s="5" t="inlineStr">
        <is>
          <t>Cash</t>
        </is>
      </c>
      <c r="O16" s="5" t="inlineStr">
        <is>
          <t>Received</t>
        </is>
      </c>
      <c r="P16" s="5" t="n"/>
    </row>
  </sheetData>
  <autoFilter ref="A1:P16"/>
  <dataValidations count="6"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E2:E1000" showDropDown="0" showInputMessage="0" showErrorMessage="0" allowBlank="1" type="list">
      <formula1>"Individual,Apartment Bulk,Commercial"</formula1>
    </dataValidation>
    <dataValidation sqref="N2:N1000" showDropDown="0" showInputMessage="0" showErrorMessage="0" allowBlank="1" type="list">
      <formula1>"Cash,UPI,Bank Transfer,Card"</formula1>
    </dataValidation>
    <dataValidation sqref="O2:O1000" showDropDown="0" showInputMessage="0" showErrorMessage="0" allowBlank="1" type="list">
      <formula1>"Received,Pending"</formula1>
    </dataValidation>
    <dataValidation sqref="K2:K1000" showDropDown="0" showInputMessage="0" showErrorMessage="0" allowBlank="1" type="list">
      <formula1>"0%,5%,12%,18%"</formula1>
    </dataValidation>
    <dataValidation sqref="H2:H1000" showDropDown="0" showInputMessage="0" showErrorMessage="0" allowBlank="1" type="list">
      <formula1>"0%,5%,10%,15%,20%"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Date</t>
        </is>
      </c>
      <c r="B1" s="2" t="inlineStr">
        <is>
          <t>Expense ID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Vendor/Payee</t>
        </is>
      </c>
      <c r="F1" s="2" t="inlineStr">
        <is>
          <t>Base Amount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Amount (₹)</t>
        </is>
      </c>
      <c r="J1" s="2" t="inlineStr">
        <is>
          <t>Payment Mode</t>
        </is>
      </c>
      <c r="K1" s="2" t="inlineStr">
        <is>
          <t>Payment Status</t>
        </is>
      </c>
      <c r="L1" s="2" t="inlineStr">
        <is>
          <t>Notes</t>
        </is>
      </c>
    </row>
    <row r="2">
      <c r="A2" s="4" t="n">
        <v>45671</v>
      </c>
      <c r="B2" s="5" t="inlineStr">
        <is>
          <t>EXP-2025-101</t>
        </is>
      </c>
      <c r="C2" s="5" t="inlineStr">
        <is>
          <t>Office Expenses</t>
        </is>
      </c>
      <c r="D2" s="5" t="inlineStr">
        <is>
          <t>Office Supplies</t>
        </is>
      </c>
      <c r="E2" s="5" t="inlineStr">
        <is>
          <t>Facebook Ads</t>
        </is>
      </c>
      <c r="F2" s="6" t="n">
        <v>4528</v>
      </c>
      <c r="G2" s="7" t="n">
        <v>0.18</v>
      </c>
      <c r="H2" s="6">
        <f>F2*G2</f>
        <v/>
      </c>
      <c r="I2" s="6">
        <f>F2+H2</f>
        <v/>
      </c>
      <c r="J2" s="5" t="inlineStr">
        <is>
          <t>Cash</t>
        </is>
      </c>
      <c r="K2" s="5" t="inlineStr">
        <is>
          <t>Pending</t>
        </is>
      </c>
      <c r="L2" s="5" t="n"/>
    </row>
    <row r="3">
      <c r="A3" s="8" t="n">
        <v>45670</v>
      </c>
      <c r="B3" s="3" t="inlineStr">
        <is>
          <t>EXP-2025-102</t>
        </is>
      </c>
      <c r="C3" s="3" t="inlineStr">
        <is>
          <t>Vendor Payment</t>
        </is>
      </c>
      <c r="D3" s="3" t="inlineStr">
        <is>
          <t>Utility Bill</t>
        </is>
      </c>
      <c r="E3" s="3" t="inlineStr">
        <is>
          <t>City Fuel Station</t>
        </is>
      </c>
      <c r="F3" s="9" t="n">
        <v>2477</v>
      </c>
      <c r="G3" s="10" t="n">
        <v>0.18</v>
      </c>
      <c r="H3" s="9">
        <f>F3*G3</f>
        <v/>
      </c>
      <c r="I3" s="9">
        <f>F3+H3</f>
        <v/>
      </c>
      <c r="J3" s="3" t="inlineStr">
        <is>
          <t>Bank Transfer</t>
        </is>
      </c>
      <c r="K3" s="3" t="inlineStr">
        <is>
          <t>Pending</t>
        </is>
      </c>
      <c r="L3" s="3" t="n"/>
    </row>
    <row r="4">
      <c r="A4" s="4" t="n">
        <v>45665</v>
      </c>
      <c r="B4" s="5" t="inlineStr">
        <is>
          <t>EXP-2025-103</t>
        </is>
      </c>
      <c r="C4" s="5" t="inlineStr">
        <is>
          <t>Travel &amp; Fuel</t>
        </is>
      </c>
      <c r="D4" s="5" t="inlineStr">
        <is>
          <t>Petrol/Diesel</t>
        </is>
      </c>
      <c r="E4" s="5" t="inlineStr">
        <is>
          <t>City Fuel Station</t>
        </is>
      </c>
      <c r="F4" s="6" t="n">
        <v>1228</v>
      </c>
      <c r="G4" s="7" t="n">
        <v>0.18</v>
      </c>
      <c r="H4" s="6">
        <f>F4*G4</f>
        <v/>
      </c>
      <c r="I4" s="6">
        <f>F4+H4</f>
        <v/>
      </c>
      <c r="J4" s="5" t="inlineStr">
        <is>
          <t>UPI</t>
        </is>
      </c>
      <c r="K4" s="5" t="inlineStr">
        <is>
          <t>Pending</t>
        </is>
      </c>
      <c r="L4" s="5" t="n"/>
    </row>
    <row r="5">
      <c r="A5" s="8" t="n">
        <v>45683</v>
      </c>
      <c r="B5" s="3" t="inlineStr">
        <is>
          <t>EXP-2025-104</t>
        </is>
      </c>
      <c r="C5" s="3" t="inlineStr">
        <is>
          <t>Travel &amp; Fuel</t>
        </is>
      </c>
      <c r="D5" s="3" t="inlineStr">
        <is>
          <t>Petrol/Diesel</t>
        </is>
      </c>
      <c r="E5" s="3" t="inlineStr">
        <is>
          <t>City Fuel Station</t>
        </is>
      </c>
      <c r="F5" s="9" t="n">
        <v>2677</v>
      </c>
      <c r="G5" s="10" t="n">
        <v>0.18</v>
      </c>
      <c r="H5" s="9">
        <f>F5*G5</f>
        <v/>
      </c>
      <c r="I5" s="9">
        <f>F5+H5</f>
        <v/>
      </c>
      <c r="J5" s="3" t="inlineStr">
        <is>
          <t>Bank Transfer</t>
        </is>
      </c>
      <c r="K5" s="3" t="inlineStr">
        <is>
          <t>Pending</t>
        </is>
      </c>
      <c r="L5" s="3" t="n"/>
    </row>
    <row r="6">
      <c r="A6" s="4" t="n">
        <v>45664</v>
      </c>
      <c r="B6" s="5" t="inlineStr">
        <is>
          <t>EXP-2025-105</t>
        </is>
      </c>
      <c r="C6" s="5" t="inlineStr">
        <is>
          <t>Vendor Payment</t>
        </is>
      </c>
      <c r="D6" s="5" t="inlineStr">
        <is>
          <t>Office Supplies</t>
        </is>
      </c>
      <c r="E6" s="5" t="inlineStr">
        <is>
          <t>Airtel</t>
        </is>
      </c>
      <c r="F6" s="6" t="n">
        <v>711</v>
      </c>
      <c r="G6" s="7" t="n">
        <v>0.18</v>
      </c>
      <c r="H6" s="6">
        <f>F6*G6</f>
        <v/>
      </c>
      <c r="I6" s="6">
        <f>F6+H6</f>
        <v/>
      </c>
      <c r="J6" s="5" t="inlineStr">
        <is>
          <t>Cash</t>
        </is>
      </c>
      <c r="K6" s="5" t="inlineStr">
        <is>
          <t>Received</t>
        </is>
      </c>
      <c r="L6" s="5" t="n"/>
    </row>
    <row r="7">
      <c r="A7" s="8" t="n">
        <v>45659</v>
      </c>
      <c r="B7" s="3" t="inlineStr">
        <is>
          <t>EXP-2025-106</t>
        </is>
      </c>
      <c r="C7" s="3" t="inlineStr">
        <is>
          <t>Travel &amp; Fuel</t>
        </is>
      </c>
      <c r="D7" s="3" t="inlineStr">
        <is>
          <t>Petrol/Diesel</t>
        </is>
      </c>
      <c r="E7" s="3" t="inlineStr">
        <is>
          <t>City Fuel Station</t>
        </is>
      </c>
      <c r="F7" s="9" t="n">
        <v>1215</v>
      </c>
      <c r="G7" s="10" t="n">
        <v>0.18</v>
      </c>
      <c r="H7" s="9">
        <f>F7*G7</f>
        <v/>
      </c>
      <c r="I7" s="9">
        <f>F7+H7</f>
        <v/>
      </c>
      <c r="J7" s="3" t="inlineStr">
        <is>
          <t>Cash</t>
        </is>
      </c>
      <c r="K7" s="3" t="inlineStr">
        <is>
          <t>Received</t>
        </is>
      </c>
      <c r="L7" s="3" t="n"/>
    </row>
    <row r="8">
      <c r="A8" s="4" t="n">
        <v>45678</v>
      </c>
      <c r="B8" s="5" t="inlineStr">
        <is>
          <t>EXP-2025-107</t>
        </is>
      </c>
      <c r="C8" s="5" t="inlineStr">
        <is>
          <t>Office Expenses</t>
        </is>
      </c>
      <c r="D8" s="5" t="inlineStr">
        <is>
          <t>Misc Purchase</t>
        </is>
      </c>
      <c r="E8" s="5" t="inlineStr">
        <is>
          <t>City Fuel Station</t>
        </is>
      </c>
      <c r="F8" s="6" t="n">
        <v>3771</v>
      </c>
      <c r="G8" s="7" t="n">
        <v>0.18</v>
      </c>
      <c r="H8" s="6">
        <f>F8*G8</f>
        <v/>
      </c>
      <c r="I8" s="6">
        <f>F8+H8</f>
        <v/>
      </c>
      <c r="J8" s="5" t="inlineStr">
        <is>
          <t>UPI</t>
        </is>
      </c>
      <c r="K8" s="5" t="inlineStr">
        <is>
          <t>Received</t>
        </is>
      </c>
      <c r="L8" s="5" t="n"/>
    </row>
    <row r="9">
      <c r="A9" s="8" t="n">
        <v>45671</v>
      </c>
      <c r="B9" s="3" t="inlineStr">
        <is>
          <t>EXP-2025-108</t>
        </is>
      </c>
      <c r="C9" s="3" t="inlineStr">
        <is>
          <t>Marketing</t>
        </is>
      </c>
      <c r="D9" s="3" t="inlineStr">
        <is>
          <t>Google Ads</t>
        </is>
      </c>
      <c r="E9" s="3" t="inlineStr">
        <is>
          <t>Google Ads</t>
        </is>
      </c>
      <c r="F9" s="9" t="n">
        <v>9191</v>
      </c>
      <c r="G9" s="10" t="n">
        <v>0.18</v>
      </c>
      <c r="H9" s="9">
        <f>F9*G9</f>
        <v/>
      </c>
      <c r="I9" s="9">
        <f>F9+H9</f>
        <v/>
      </c>
      <c r="J9" s="3" t="inlineStr">
        <is>
          <t>Card</t>
        </is>
      </c>
      <c r="K9" s="3" t="inlineStr">
        <is>
          <t>Received</t>
        </is>
      </c>
      <c r="L9" s="3" t="n"/>
    </row>
    <row r="10">
      <c r="A10" s="4" t="n">
        <v>45665</v>
      </c>
      <c r="B10" s="5" t="inlineStr">
        <is>
          <t>EXP-2025-109</t>
        </is>
      </c>
      <c r="C10" s="5" t="inlineStr">
        <is>
          <t>Office Expenses</t>
        </is>
      </c>
      <c r="D10" s="5" t="inlineStr">
        <is>
          <t>Misc Purchase</t>
        </is>
      </c>
      <c r="E10" s="5" t="inlineStr">
        <is>
          <t>Kumar Chemicals</t>
        </is>
      </c>
      <c r="F10" s="6" t="n">
        <v>538</v>
      </c>
      <c r="G10" s="7" t="n">
        <v>0.18</v>
      </c>
      <c r="H10" s="6">
        <f>F10*G10</f>
        <v/>
      </c>
      <c r="I10" s="6">
        <f>F10+H10</f>
        <v/>
      </c>
      <c r="J10" s="5" t="inlineStr">
        <is>
          <t>Cash</t>
        </is>
      </c>
      <c r="K10" s="5" t="inlineStr">
        <is>
          <t>Received</t>
        </is>
      </c>
      <c r="L10" s="5" t="n"/>
    </row>
    <row r="11">
      <c r="A11" s="8" t="n">
        <v>45660</v>
      </c>
      <c r="B11" s="3" t="inlineStr">
        <is>
          <t>EXP-2025-110</t>
        </is>
      </c>
      <c r="C11" s="3" t="inlineStr">
        <is>
          <t>Vendor Payment</t>
        </is>
      </c>
      <c r="D11" s="3" t="inlineStr">
        <is>
          <t>Utility Bill</t>
        </is>
      </c>
      <c r="E11" s="3" t="inlineStr">
        <is>
          <t>Facebook Ads</t>
        </is>
      </c>
      <c r="F11" s="9" t="n">
        <v>1439</v>
      </c>
      <c r="G11" s="10" t="n">
        <v>0.18</v>
      </c>
      <c r="H11" s="9">
        <f>F11*G11</f>
        <v/>
      </c>
      <c r="I11" s="9">
        <f>F11+H11</f>
        <v/>
      </c>
      <c r="J11" s="3" t="inlineStr">
        <is>
          <t>Card</t>
        </is>
      </c>
      <c r="K11" s="3" t="inlineStr">
        <is>
          <t>Received</t>
        </is>
      </c>
      <c r="L11" s="3" t="n"/>
    </row>
    <row r="12">
      <c r="A12" s="4" t="n">
        <v>45670</v>
      </c>
      <c r="B12" s="5" t="inlineStr">
        <is>
          <t>EXP-2025-111</t>
        </is>
      </c>
      <c r="C12" s="5" t="inlineStr">
        <is>
          <t>Marketing</t>
        </is>
      </c>
      <c r="D12" s="5" t="inlineStr">
        <is>
          <t>Google Ads</t>
        </is>
      </c>
      <c r="E12" s="5" t="inlineStr">
        <is>
          <t>Google Ads</t>
        </is>
      </c>
      <c r="F12" s="6" t="n">
        <v>14980</v>
      </c>
      <c r="G12" s="7" t="n">
        <v>0.18</v>
      </c>
      <c r="H12" s="6">
        <f>F12*G12</f>
        <v/>
      </c>
      <c r="I12" s="6">
        <f>F12+H12</f>
        <v/>
      </c>
      <c r="J12" s="5" t="inlineStr">
        <is>
          <t>Card</t>
        </is>
      </c>
      <c r="K12" s="5" t="inlineStr">
        <is>
          <t>Received</t>
        </is>
      </c>
      <c r="L12" s="5" t="n"/>
    </row>
    <row r="13">
      <c r="A13" s="8" t="n">
        <v>45660</v>
      </c>
      <c r="B13" s="3" t="inlineStr">
        <is>
          <t>EXP-2025-112</t>
        </is>
      </c>
      <c r="C13" s="3" t="inlineStr">
        <is>
          <t>Vendor Payment</t>
        </is>
      </c>
      <c r="D13" s="3" t="inlineStr">
        <is>
          <t>Utility Bill</t>
        </is>
      </c>
      <c r="E13" s="3" t="inlineStr">
        <is>
          <t>Office Depot</t>
        </is>
      </c>
      <c r="F13" s="9" t="n">
        <v>2946</v>
      </c>
      <c r="G13" s="10" t="n">
        <v>0.18</v>
      </c>
      <c r="H13" s="9">
        <f>F13*G13</f>
        <v/>
      </c>
      <c r="I13" s="9">
        <f>F13+H13</f>
        <v/>
      </c>
      <c r="J13" s="3" t="inlineStr">
        <is>
          <t>Card</t>
        </is>
      </c>
      <c r="K13" s="3" t="inlineStr">
        <is>
          <t>Received</t>
        </is>
      </c>
      <c r="L13" s="3" t="n"/>
    </row>
    <row r="14">
      <c r="A14" s="4" t="n">
        <v>45673</v>
      </c>
      <c r="B14" s="5" t="inlineStr">
        <is>
          <t>EXP-2025-113</t>
        </is>
      </c>
      <c r="C14" s="5" t="inlineStr">
        <is>
          <t>Office Expenses</t>
        </is>
      </c>
      <c r="D14" s="5" t="inlineStr">
        <is>
          <t>Office Supplies</t>
        </is>
      </c>
      <c r="E14" s="5" t="inlineStr">
        <is>
          <t>City Fuel Station</t>
        </is>
      </c>
      <c r="F14" s="6" t="n">
        <v>4913</v>
      </c>
      <c r="G14" s="7" t="n">
        <v>0.18</v>
      </c>
      <c r="H14" s="6">
        <f>F14*G14</f>
        <v/>
      </c>
      <c r="I14" s="6">
        <f>F14+H14</f>
        <v/>
      </c>
      <c r="J14" s="5" t="inlineStr">
        <is>
          <t>UPI</t>
        </is>
      </c>
      <c r="K14" s="5" t="inlineStr">
        <is>
          <t>Pending</t>
        </is>
      </c>
      <c r="L14" s="5" t="n"/>
    </row>
    <row r="15">
      <c r="A15" s="8" t="n">
        <v>45677</v>
      </c>
      <c r="B15" s="3" t="inlineStr">
        <is>
          <t>EXP-2025-114</t>
        </is>
      </c>
      <c r="C15" s="3" t="inlineStr">
        <is>
          <t>Vendor Payment</t>
        </is>
      </c>
      <c r="D15" s="3" t="inlineStr">
        <is>
          <t>Office Supplies</t>
        </is>
      </c>
      <c r="E15" s="3" t="inlineStr">
        <is>
          <t>Airtel</t>
        </is>
      </c>
      <c r="F15" s="9" t="n">
        <v>924</v>
      </c>
      <c r="G15" s="10" t="n">
        <v>0.18</v>
      </c>
      <c r="H15" s="9">
        <f>F15*G15</f>
        <v/>
      </c>
      <c r="I15" s="9">
        <f>F15+H15</f>
        <v/>
      </c>
      <c r="J15" s="3" t="inlineStr">
        <is>
          <t>Card</t>
        </is>
      </c>
      <c r="K15" s="3" t="inlineStr">
        <is>
          <t>Pending</t>
        </is>
      </c>
      <c r="L15" s="3" t="n"/>
    </row>
    <row r="16">
      <c r="A16" s="4" t="n">
        <v>45675</v>
      </c>
      <c r="B16" s="5" t="inlineStr">
        <is>
          <t>EXP-2025-115</t>
        </is>
      </c>
      <c r="C16" s="5" t="inlineStr">
        <is>
          <t>Office Expenses</t>
        </is>
      </c>
      <c r="D16" s="5" t="inlineStr">
        <is>
          <t>Misc Purchase</t>
        </is>
      </c>
      <c r="E16" s="5" t="inlineStr">
        <is>
          <t>City Fuel Station</t>
        </is>
      </c>
      <c r="F16" s="6" t="n">
        <v>2434</v>
      </c>
      <c r="G16" s="7" t="n">
        <v>0.18</v>
      </c>
      <c r="H16" s="6">
        <f>F16*G16</f>
        <v/>
      </c>
      <c r="I16" s="6">
        <f>F16+H16</f>
        <v/>
      </c>
      <c r="J16" s="5" t="inlineStr">
        <is>
          <t>UPI</t>
        </is>
      </c>
      <c r="K16" s="5" t="inlineStr">
        <is>
          <t>Received</t>
        </is>
      </c>
      <c r="L16" s="5" t="n"/>
    </row>
  </sheetData>
  <autoFilter ref="A1:L16"/>
  <dataValidations count="4">
    <dataValidation sqref="C2:C1000" showDropDown="0" showInputMessage="0" showErrorMessage="0" allowBlank="1" type="list">
      <formula1>"Vendor Payment,Travel &amp; Fuel,Marketing,Office Expenses,Miscellaneous"</formula1>
    </dataValidation>
    <dataValidation sqref="J2:J1000" showDropDown="0" showInputMessage="0" showErrorMessage="0" allowBlank="1" type="list">
      <formula1>"Cash,UPI,Bank Transfer,Card"</formula1>
    </dataValidation>
    <dataValidation sqref="K2:K1000" showDropDown="0" showInputMessage="0" showErrorMessage="0" allowBlank="1" type="list">
      <formula1>"Received,Pending"</formula1>
    </dataValidation>
    <dataValidation sqref="G2:G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Month</t>
        </is>
      </c>
      <c r="B1" s="2" t="inlineStr">
        <is>
          <t>Employee ID</t>
        </is>
      </c>
      <c r="C1" s="2" t="inlineStr">
        <is>
          <t>Employee Name</t>
        </is>
      </c>
      <c r="D1" s="2" t="inlineStr">
        <is>
          <t>Designation</t>
        </is>
      </c>
      <c r="E1" s="2" t="inlineStr">
        <is>
          <t>Department</t>
        </is>
      </c>
      <c r="F1" s="2" t="inlineStr">
        <is>
          <t>Basic Salary (₹)</t>
        </is>
      </c>
      <c r="G1" s="2" t="inlineStr">
        <is>
          <t>HRA (₹)</t>
        </is>
      </c>
      <c r="H1" s="2" t="inlineStr">
        <is>
          <t>Other Allowances (₹)</t>
        </is>
      </c>
      <c r="I1" s="2" t="inlineStr">
        <is>
          <t>Gross Salary (₹)</t>
        </is>
      </c>
      <c r="J1" s="2" t="inlineStr">
        <is>
          <t>PF Deduction (₹)</t>
        </is>
      </c>
      <c r="K1" s="2" t="inlineStr">
        <is>
          <t>ESI Deduction (₹)</t>
        </is>
      </c>
      <c r="L1" s="2" t="inlineStr">
        <is>
          <t>Other Deductions (₹)</t>
        </is>
      </c>
      <c r="M1" s="2" t="inlineStr">
        <is>
          <t>Total Deductions (₹)</t>
        </is>
      </c>
      <c r="N1" s="2" t="inlineStr">
        <is>
          <t>Net Salary (₹)</t>
        </is>
      </c>
      <c r="O1" s="2" t="inlineStr">
        <is>
          <t>Payment Date</t>
        </is>
      </c>
      <c r="P1" s="2" t="inlineStr">
        <is>
          <t>Payment Mode</t>
        </is>
      </c>
      <c r="Q1" s="2" t="inlineStr">
        <is>
          <t>Payment Status</t>
        </is>
      </c>
      <c r="R1" s="2" t="inlineStr">
        <is>
          <t>Notes</t>
        </is>
      </c>
    </row>
    <row r="2">
      <c r="A2" s="5" t="inlineStr">
        <is>
          <t>January 2025</t>
        </is>
      </c>
      <c r="B2" s="5" t="inlineStr">
        <is>
          <t>EMP001</t>
        </is>
      </c>
      <c r="C2" s="5" t="inlineStr">
        <is>
          <t>Ramesh Kumar</t>
        </is>
      </c>
      <c r="D2" s="5" t="inlineStr">
        <is>
          <t>Driver</t>
        </is>
      </c>
      <c r="E2" s="5" t="inlineStr">
        <is>
          <t>Operations</t>
        </is>
      </c>
      <c r="F2" s="6" t="n">
        <v>18000</v>
      </c>
      <c r="G2" s="6" t="n">
        <v>0</v>
      </c>
      <c r="H2" s="6" t="n">
        <v>0</v>
      </c>
      <c r="I2" s="6">
        <f>F2+G2+H2</f>
        <v/>
      </c>
      <c r="J2" s="6" t="n">
        <v>0</v>
      </c>
      <c r="K2" s="6" t="n">
        <v>0</v>
      </c>
      <c r="L2" s="6" t="n">
        <v>0</v>
      </c>
      <c r="M2" s="6">
        <f>J2+K2+L2</f>
        <v/>
      </c>
      <c r="N2" s="6">
        <f>I2-M2</f>
        <v/>
      </c>
      <c r="O2" s="4" t="n">
        <v>45688</v>
      </c>
      <c r="P2" s="5" t="inlineStr">
        <is>
          <t>Bank Transfer</t>
        </is>
      </c>
      <c r="Q2" s="5" t="inlineStr">
        <is>
          <t>Paid</t>
        </is>
      </c>
      <c r="R2" s="5" t="n"/>
    </row>
    <row r="3">
      <c r="A3" s="3" t="inlineStr">
        <is>
          <t>January 2025</t>
        </is>
      </c>
      <c r="B3" s="3" t="inlineStr">
        <is>
          <t>EMP002</t>
        </is>
      </c>
      <c r="C3" s="3" t="inlineStr">
        <is>
          <t>Suresh Nair</t>
        </is>
      </c>
      <c r="D3" s="3" t="inlineStr">
        <is>
          <t>Technician</t>
        </is>
      </c>
      <c r="E3" s="3" t="inlineStr">
        <is>
          <t>Operations</t>
        </is>
      </c>
      <c r="F3" s="9" t="n">
        <v>22000</v>
      </c>
      <c r="G3" s="9" t="n">
        <v>0</v>
      </c>
      <c r="H3" s="9" t="n">
        <v>0</v>
      </c>
      <c r="I3" s="9">
        <f>F3+G3+H3</f>
        <v/>
      </c>
      <c r="J3" s="9" t="n">
        <v>0</v>
      </c>
      <c r="K3" s="9" t="n">
        <v>0</v>
      </c>
      <c r="L3" s="9" t="n">
        <v>0</v>
      </c>
      <c r="M3" s="9">
        <f>J3+K3+L3</f>
        <v/>
      </c>
      <c r="N3" s="9">
        <f>I3-M3</f>
        <v/>
      </c>
      <c r="O3" s="8" t="n">
        <v>45688</v>
      </c>
      <c r="P3" s="3" t="inlineStr">
        <is>
          <t>Bank Transfer</t>
        </is>
      </c>
      <c r="Q3" s="3" t="inlineStr">
        <is>
          <t>Paid</t>
        </is>
      </c>
      <c r="R3" s="3" t="n"/>
    </row>
    <row r="4">
      <c r="A4" s="5" t="inlineStr">
        <is>
          <t>January 2025</t>
        </is>
      </c>
      <c r="B4" s="5" t="inlineStr">
        <is>
          <t>EMP003</t>
        </is>
      </c>
      <c r="C4" s="5" t="inlineStr">
        <is>
          <t>Anil Sharma</t>
        </is>
      </c>
      <c r="D4" s="5" t="inlineStr">
        <is>
          <t>Helper</t>
        </is>
      </c>
      <c r="E4" s="5" t="inlineStr">
        <is>
          <t>Operations</t>
        </is>
      </c>
      <c r="F4" s="6" t="n">
        <v>15000</v>
      </c>
      <c r="G4" s="6" t="n">
        <v>0</v>
      </c>
      <c r="H4" s="6" t="n">
        <v>0</v>
      </c>
      <c r="I4" s="6">
        <f>F4+G4+H4</f>
        <v/>
      </c>
      <c r="J4" s="6" t="n">
        <v>0</v>
      </c>
      <c r="K4" s="6" t="n">
        <v>0</v>
      </c>
      <c r="L4" s="6" t="n">
        <v>0</v>
      </c>
      <c r="M4" s="6">
        <f>J4+K4+L4</f>
        <v/>
      </c>
      <c r="N4" s="6">
        <f>I4-M4</f>
        <v/>
      </c>
      <c r="O4" s="4" t="n">
        <v>45688</v>
      </c>
      <c r="P4" s="5" t="inlineStr">
        <is>
          <t>Bank Transfer</t>
        </is>
      </c>
      <c r="Q4" s="5" t="inlineStr">
        <is>
          <t>Paid</t>
        </is>
      </c>
      <c r="R4" s="5" t="n"/>
    </row>
    <row r="5">
      <c r="A5" s="3" t="inlineStr">
        <is>
          <t>January 2025</t>
        </is>
      </c>
      <c r="B5" s="3" t="inlineStr">
        <is>
          <t>EMP004</t>
        </is>
      </c>
      <c r="C5" s="3" t="inlineStr">
        <is>
          <t>Priya Menon</t>
        </is>
      </c>
      <c r="D5" s="3" t="inlineStr">
        <is>
          <t>Supervisor</t>
        </is>
      </c>
      <c r="E5" s="3" t="inlineStr">
        <is>
          <t>Operations</t>
        </is>
      </c>
      <c r="F5" s="9" t="n">
        <v>28000</v>
      </c>
      <c r="G5" s="9" t="n">
        <v>0</v>
      </c>
      <c r="H5" s="9" t="n">
        <v>0</v>
      </c>
      <c r="I5" s="9">
        <f>F5+G5+H5</f>
        <v/>
      </c>
      <c r="J5" s="9" t="n">
        <v>0</v>
      </c>
      <c r="K5" s="9" t="n">
        <v>0</v>
      </c>
      <c r="L5" s="9" t="n">
        <v>0</v>
      </c>
      <c r="M5" s="9">
        <f>J5+K5+L5</f>
        <v/>
      </c>
      <c r="N5" s="9">
        <f>I5-M5</f>
        <v/>
      </c>
      <c r="O5" s="8" t="n">
        <v>45688</v>
      </c>
      <c r="P5" s="3" t="inlineStr">
        <is>
          <t>Bank Transfer</t>
        </is>
      </c>
      <c r="Q5" s="3" t="inlineStr">
        <is>
          <t>Paid</t>
        </is>
      </c>
      <c r="R5" s="3" t="n"/>
    </row>
    <row r="6">
      <c r="A6" s="5" t="inlineStr">
        <is>
          <t>January 2025</t>
        </is>
      </c>
      <c r="B6" s="5" t="inlineStr">
        <is>
          <t>EMP005</t>
        </is>
      </c>
      <c r="C6" s="5" t="inlineStr">
        <is>
          <t>Karthik Reddy</t>
        </is>
      </c>
      <c r="D6" s="5" t="inlineStr">
        <is>
          <t>Technician</t>
        </is>
      </c>
      <c r="E6" s="5" t="inlineStr">
        <is>
          <t>Operations</t>
        </is>
      </c>
      <c r="F6" s="6" t="n">
        <v>22000</v>
      </c>
      <c r="G6" s="6" t="n">
        <v>0</v>
      </c>
      <c r="H6" s="6" t="n">
        <v>0</v>
      </c>
      <c r="I6" s="6">
        <f>F6+G6+H6</f>
        <v/>
      </c>
      <c r="J6" s="6" t="n">
        <v>0</v>
      </c>
      <c r="K6" s="6" t="n">
        <v>0</v>
      </c>
      <c r="L6" s="6" t="n">
        <v>0</v>
      </c>
      <c r="M6" s="6">
        <f>J6+K6+L6</f>
        <v/>
      </c>
      <c r="N6" s="6">
        <f>I6-M6</f>
        <v/>
      </c>
      <c r="O6" s="4" t="n">
        <v>45688</v>
      </c>
      <c r="P6" s="5" t="inlineStr">
        <is>
          <t>Bank Transfer</t>
        </is>
      </c>
      <c r="Q6" s="5" t="inlineStr">
        <is>
          <t>Paid</t>
        </is>
      </c>
      <c r="R6" s="5" t="n"/>
    </row>
    <row r="7">
      <c r="A7" s="3" t="inlineStr">
        <is>
          <t>January 2025</t>
        </is>
      </c>
      <c r="B7" s="3" t="inlineStr">
        <is>
          <t>EMP006</t>
        </is>
      </c>
      <c r="C7" s="3" t="inlineStr">
        <is>
          <t>Lakshmi Iyer</t>
        </is>
      </c>
      <c r="D7" s="3" t="inlineStr">
        <is>
          <t>Admin</t>
        </is>
      </c>
      <c r="E7" s="3" t="inlineStr">
        <is>
          <t>Office</t>
        </is>
      </c>
      <c r="F7" s="9" t="n">
        <v>20000</v>
      </c>
      <c r="G7" s="9" t="n">
        <v>0</v>
      </c>
      <c r="H7" s="9" t="n">
        <v>0</v>
      </c>
      <c r="I7" s="9">
        <f>F7+G7+H7</f>
        <v/>
      </c>
      <c r="J7" s="9" t="n">
        <v>0</v>
      </c>
      <c r="K7" s="9" t="n">
        <v>0</v>
      </c>
      <c r="L7" s="9" t="n">
        <v>0</v>
      </c>
      <c r="M7" s="9">
        <f>J7+K7+L7</f>
        <v/>
      </c>
      <c r="N7" s="9">
        <f>I7-M7</f>
        <v/>
      </c>
      <c r="O7" s="8" t="n">
        <v>45688</v>
      </c>
      <c r="P7" s="3" t="inlineStr">
        <is>
          <t>Bank Transfer</t>
        </is>
      </c>
      <c r="Q7" s="3" t="inlineStr">
        <is>
          <t>Paid</t>
        </is>
      </c>
      <c r="R7" s="3" t="n"/>
    </row>
    <row r="8">
      <c r="A8" s="5" t="inlineStr">
        <is>
          <t>January 2025</t>
        </is>
      </c>
      <c r="B8" s="5" t="inlineStr">
        <is>
          <t>EMP007</t>
        </is>
      </c>
      <c r="C8" s="5" t="inlineStr">
        <is>
          <t>Vijay Das</t>
        </is>
      </c>
      <c r="D8" s="5" t="inlineStr">
        <is>
          <t>Helper</t>
        </is>
      </c>
      <c r="E8" s="5" t="inlineStr">
        <is>
          <t>Operations</t>
        </is>
      </c>
      <c r="F8" s="6" t="n">
        <v>15000</v>
      </c>
      <c r="G8" s="6" t="n">
        <v>0</v>
      </c>
      <c r="H8" s="6" t="n">
        <v>0</v>
      </c>
      <c r="I8" s="6">
        <f>F8+G8+H8</f>
        <v/>
      </c>
      <c r="J8" s="6" t="n">
        <v>0</v>
      </c>
      <c r="K8" s="6" t="n">
        <v>0</v>
      </c>
      <c r="L8" s="6" t="n">
        <v>0</v>
      </c>
      <c r="M8" s="6">
        <f>J8+K8+L8</f>
        <v/>
      </c>
      <c r="N8" s="6">
        <f>I8-M8</f>
        <v/>
      </c>
      <c r="O8" s="4" t="n">
        <v>45688</v>
      </c>
      <c r="P8" s="5" t="inlineStr">
        <is>
          <t>Bank Transfer</t>
        </is>
      </c>
      <c r="Q8" s="5" t="inlineStr">
        <is>
          <t>Paid</t>
        </is>
      </c>
      <c r="R8" s="5" t="n"/>
    </row>
    <row r="9">
      <c r="A9" s="3" t="inlineStr">
        <is>
          <t>January 2025</t>
        </is>
      </c>
      <c r="B9" s="3" t="inlineStr">
        <is>
          <t>EMP008</t>
        </is>
      </c>
      <c r="C9" s="3" t="inlineStr">
        <is>
          <t>Meena Pillai</t>
        </is>
      </c>
      <c r="D9" s="3" t="inlineStr">
        <is>
          <t>Accounts</t>
        </is>
      </c>
      <c r="E9" s="3" t="inlineStr">
        <is>
          <t>Office</t>
        </is>
      </c>
      <c r="F9" s="9" t="n">
        <v>25000</v>
      </c>
      <c r="G9" s="9" t="n">
        <v>0</v>
      </c>
      <c r="H9" s="9" t="n">
        <v>0</v>
      </c>
      <c r="I9" s="9">
        <f>F9+G9+H9</f>
        <v/>
      </c>
      <c r="J9" s="9" t="n">
        <v>0</v>
      </c>
      <c r="K9" s="9" t="n">
        <v>0</v>
      </c>
      <c r="L9" s="9" t="n">
        <v>0</v>
      </c>
      <c r="M9" s="9">
        <f>J9+K9+L9</f>
        <v/>
      </c>
      <c r="N9" s="9">
        <f>I9-M9</f>
        <v/>
      </c>
      <c r="O9" s="8" t="n">
        <v>45688</v>
      </c>
      <c r="P9" s="3" t="inlineStr">
        <is>
          <t>Bank Transfer</t>
        </is>
      </c>
      <c r="Q9" s="3" t="inlineStr">
        <is>
          <t>Paid</t>
        </is>
      </c>
      <c r="R9" s="3" t="n"/>
    </row>
  </sheetData>
  <autoFilter ref="A1:R9"/>
  <dataValidations count="3">
    <dataValidation sqref="A2:A1000" showDropDown="0" showInputMessage="0" showErrorMessage="0" allowBlank="1" type="list">
      <formula1>"January 2025,February 2025,March 2025,April 2025,May 2025,June 2025,July 2025,August 2025,September 2025,October 2025,November 2025,December 2025"</formula1>
    </dataValidation>
    <dataValidation sqref="Q2:Q1000" showDropDown="0" showInputMessage="0" showErrorMessage="0" allowBlank="1" type="list">
      <formula1>"Paid,Pending,On Hold"</formula1>
    </dataValidation>
    <dataValidation sqref="P2:P1000" showDropDown="0" showInputMessage="0" showErrorMessage="0" allowBlank="1" type="list">
      <formula1>"Cash,UPI,Bank Transfer,Card"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25" customWidth="1" min="6" max="6"/>
    <col width="15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Date</t>
        </is>
      </c>
      <c r="B1" s="2" t="inlineStr">
        <is>
          <t>Payment ID</t>
        </is>
      </c>
      <c r="C1" s="2" t="inlineStr">
        <is>
          <t>Contractor Name</t>
        </is>
      </c>
      <c r="D1" s="2" t="inlineStr">
        <is>
          <t>Contractor PAN</t>
        </is>
      </c>
      <c r="E1" s="2" t="inlineStr">
        <is>
          <t>Service Type</t>
        </is>
      </c>
      <c r="F1" s="2" t="inlineStr">
        <is>
          <t>Project/Work Description</t>
        </is>
      </c>
      <c r="G1" s="2" t="inlineStr">
        <is>
          <t>Gross Amount (₹)</t>
        </is>
      </c>
      <c r="H1" s="2" t="inlineStr">
        <is>
          <t>TDS % (Sec 194C)</t>
        </is>
      </c>
      <c r="I1" s="2" t="inlineStr">
        <is>
          <t>TDS Amount (₹)</t>
        </is>
      </c>
      <c r="J1" s="2" t="inlineStr">
        <is>
          <t>Net Payable (₹)</t>
        </is>
      </c>
      <c r="K1" s="2" t="inlineStr">
        <is>
          <t>Payment Date</t>
        </is>
      </c>
      <c r="L1" s="2" t="inlineStr">
        <is>
          <t>Payment Mode</t>
        </is>
      </c>
      <c r="M1" s="2" t="inlineStr">
        <is>
          <t>Payment Status</t>
        </is>
      </c>
      <c r="N1" s="2" t="inlineStr">
        <is>
          <t>TDS Deposited</t>
        </is>
      </c>
      <c r="O1" s="2" t="inlineStr">
        <is>
          <t>Notes</t>
        </is>
      </c>
    </row>
    <row r="2">
      <c r="A2" s="4" t="n">
        <v>45673</v>
      </c>
      <c r="B2" s="5" t="inlineStr">
        <is>
          <t>CONT-2025-301</t>
        </is>
      </c>
      <c r="C2" s="5" t="inlineStr">
        <is>
          <t>Sharma Cleaning Services</t>
        </is>
      </c>
      <c r="D2" s="5" t="inlineStr">
        <is>
          <t>ABCPS1234A</t>
        </is>
      </c>
      <c r="E2" s="5" t="inlineStr">
        <is>
          <t>Deep Cleaning</t>
        </is>
      </c>
      <c r="F2" s="5" t="inlineStr">
        <is>
          <t>Green Valley Phase 1</t>
        </is>
      </c>
      <c r="G2" s="6" t="n">
        <v>45000</v>
      </c>
      <c r="H2" s="11" t="n">
        <v>0.02</v>
      </c>
      <c r="I2" s="6">
        <f>G2*H2</f>
        <v/>
      </c>
      <c r="J2" s="6">
        <f>G2-I2</f>
        <v/>
      </c>
      <c r="K2" s="4" t="n">
        <v>45669</v>
      </c>
      <c r="L2" s="5" t="inlineStr">
        <is>
          <t>Bank Transfer</t>
        </is>
      </c>
      <c r="M2" s="5" t="inlineStr">
        <is>
          <t>Paid</t>
        </is>
      </c>
      <c r="N2" s="5" t="inlineStr">
        <is>
          <t>Yes</t>
        </is>
      </c>
      <c r="O2" s="5" t="n"/>
    </row>
    <row r="3">
      <c r="A3" s="8" t="n">
        <v>45668</v>
      </c>
      <c r="B3" s="3" t="inlineStr">
        <is>
          <t>CONT-2025-302</t>
        </is>
      </c>
      <c r="C3" s="3" t="inlineStr">
        <is>
          <t>Krishna Pest Control</t>
        </is>
      </c>
      <c r="D3" s="3" t="inlineStr">
        <is>
          <t>DEFPK5678B</t>
        </is>
      </c>
      <c r="E3" s="3" t="inlineStr">
        <is>
          <t>Pest Control</t>
        </is>
      </c>
      <c r="F3" s="3" t="inlineStr">
        <is>
          <t>Tech Park Building A</t>
        </is>
      </c>
      <c r="G3" s="9" t="n">
        <v>35000</v>
      </c>
      <c r="H3" s="12" t="n">
        <v>0.02</v>
      </c>
      <c r="I3" s="9">
        <f>G3*H3</f>
        <v/>
      </c>
      <c r="J3" s="9">
        <f>G3-I3</f>
        <v/>
      </c>
      <c r="K3" s="8" t="n">
        <v>45672</v>
      </c>
      <c r="L3" s="3" t="inlineStr">
        <is>
          <t>Bank Transfer</t>
        </is>
      </c>
      <c r="M3" s="3" t="inlineStr">
        <is>
          <t>Pending</t>
        </is>
      </c>
      <c r="N3" s="3" t="inlineStr">
        <is>
          <t>No</t>
        </is>
      </c>
      <c r="O3" s="3" t="n"/>
    </row>
    <row r="4">
      <c r="A4" s="4" t="n">
        <v>45674</v>
      </c>
      <c r="B4" s="5" t="inlineStr">
        <is>
          <t>CONT-2025-303</t>
        </is>
      </c>
      <c r="C4" s="5" t="inlineStr">
        <is>
          <t>Apex Painting Works</t>
        </is>
      </c>
      <c r="D4" s="5" t="inlineStr">
        <is>
          <t>GHIPA9012C</t>
        </is>
      </c>
      <c r="E4" s="5" t="inlineStr">
        <is>
          <t>Painting</t>
        </is>
      </c>
      <c r="F4" s="5" t="inlineStr">
        <is>
          <t>Residential Complex</t>
        </is>
      </c>
      <c r="G4" s="6" t="n">
        <v>85000</v>
      </c>
      <c r="H4" s="11" t="n">
        <v>0.02</v>
      </c>
      <c r="I4" s="6">
        <f>G4*H4</f>
        <v/>
      </c>
      <c r="J4" s="6">
        <f>G4-I4</f>
        <v/>
      </c>
      <c r="K4" s="4" t="n">
        <v>45681</v>
      </c>
      <c r="L4" s="5" t="inlineStr">
        <is>
          <t>UPI</t>
        </is>
      </c>
      <c r="M4" s="5" t="inlineStr">
        <is>
          <t>Paid</t>
        </is>
      </c>
      <c r="N4" s="5" t="inlineStr">
        <is>
          <t>Yes</t>
        </is>
      </c>
      <c r="O4" s="5" t="n"/>
    </row>
    <row r="5">
      <c r="A5" s="8" t="n">
        <v>45658</v>
      </c>
      <c r="B5" s="3" t="inlineStr">
        <is>
          <t>CONT-2025-304</t>
        </is>
      </c>
      <c r="C5" s="3" t="inlineStr">
        <is>
          <t>City Plumbers</t>
        </is>
      </c>
      <c r="D5" s="3" t="inlineStr">
        <is>
          <t>JKLPC3456D</t>
        </is>
      </c>
      <c r="E5" s="3" t="inlineStr">
        <is>
          <t>Plumbing</t>
        </is>
      </c>
      <c r="F5" s="3" t="inlineStr">
        <is>
          <t>Apartment Maintenance</t>
        </is>
      </c>
      <c r="G5" s="9" t="n">
        <v>28000</v>
      </c>
      <c r="H5" s="12" t="n">
        <v>0.01</v>
      </c>
      <c r="I5" s="9">
        <f>G5*H5</f>
        <v/>
      </c>
      <c r="J5" s="9">
        <f>G5-I5</f>
        <v/>
      </c>
      <c r="K5" s="8" t="n">
        <v>45672</v>
      </c>
      <c r="L5" s="3" t="inlineStr">
        <is>
          <t>UPI</t>
        </is>
      </c>
      <c r="M5" s="3" t="inlineStr">
        <is>
          <t>Pending</t>
        </is>
      </c>
      <c r="N5" s="3" t="inlineStr">
        <is>
          <t>Yes</t>
        </is>
      </c>
      <c r="O5" s="3" t="n"/>
    </row>
    <row r="6">
      <c r="A6" s="4" t="n">
        <v>45682</v>
      </c>
      <c r="B6" s="5" t="inlineStr">
        <is>
          <t>CONT-2025-305</t>
        </is>
      </c>
      <c r="C6" s="5" t="inlineStr">
        <is>
          <t>Royal AC Services</t>
        </is>
      </c>
      <c r="D6" s="5" t="inlineStr">
        <is>
          <t>MNOPR7890E</t>
        </is>
      </c>
      <c r="E6" s="5" t="inlineStr">
        <is>
          <t>AC Service</t>
        </is>
      </c>
      <c r="F6" s="5" t="inlineStr">
        <is>
          <t>Office Complex</t>
        </is>
      </c>
      <c r="G6" s="6" t="n">
        <v>42000</v>
      </c>
      <c r="H6" s="11" t="n">
        <v>0.02</v>
      </c>
      <c r="I6" s="6">
        <f>G6*H6</f>
        <v/>
      </c>
      <c r="J6" s="6">
        <f>G6-I6</f>
        <v/>
      </c>
      <c r="K6" s="4" t="n">
        <v>45667</v>
      </c>
      <c r="L6" s="5" t="inlineStr">
        <is>
          <t>Bank Transfer</t>
        </is>
      </c>
      <c r="M6" s="5" t="inlineStr">
        <is>
          <t>Paid</t>
        </is>
      </c>
      <c r="N6" s="5" t="inlineStr">
        <is>
          <t>Yes</t>
        </is>
      </c>
      <c r="O6" s="5" t="n"/>
    </row>
    <row r="7">
      <c r="A7" s="8" t="n">
        <v>45677</v>
      </c>
      <c r="B7" s="3" t="inlineStr">
        <is>
          <t>CONT-2025-306</t>
        </is>
      </c>
      <c r="C7" s="3" t="inlineStr">
        <is>
          <t>Metro Electrical</t>
        </is>
      </c>
      <c r="D7" s="3" t="inlineStr">
        <is>
          <t>PQRME1234F</t>
        </is>
      </c>
      <c r="E7" s="3" t="inlineStr">
        <is>
          <t>Electrical</t>
        </is>
      </c>
      <c r="F7" s="3" t="inlineStr">
        <is>
          <t>New Installation</t>
        </is>
      </c>
      <c r="G7" s="9" t="n">
        <v>55000</v>
      </c>
      <c r="H7" s="12" t="n">
        <v>0.02</v>
      </c>
      <c r="I7" s="9">
        <f>G7*H7</f>
        <v/>
      </c>
      <c r="J7" s="9">
        <f>G7-I7</f>
        <v/>
      </c>
      <c r="K7" s="8" t="n">
        <v>45680</v>
      </c>
      <c r="L7" s="3" t="inlineStr">
        <is>
          <t>Cheque</t>
        </is>
      </c>
      <c r="M7" s="3" t="inlineStr">
        <is>
          <t>Pending</t>
        </is>
      </c>
      <c r="N7" s="3" t="inlineStr">
        <is>
          <t>No</t>
        </is>
      </c>
      <c r="O7" s="3" t="n"/>
    </row>
    <row r="8">
      <c r="A8" s="4" t="n">
        <v>45659</v>
      </c>
      <c r="B8" s="5" t="inlineStr">
        <is>
          <t>CONT-2025-307</t>
        </is>
      </c>
      <c r="C8" s="5" t="inlineStr">
        <is>
          <t>Clean Pro Services</t>
        </is>
      </c>
      <c r="D8" s="5" t="inlineStr">
        <is>
          <t>STUCL5678G</t>
        </is>
      </c>
      <c r="E8" s="5" t="inlineStr">
        <is>
          <t>Regular Cleaning</t>
        </is>
      </c>
      <c r="F8" s="5" t="inlineStr">
        <is>
          <t>Monthly Contract</t>
        </is>
      </c>
      <c r="G8" s="6" t="n">
        <v>65000</v>
      </c>
      <c r="H8" s="11" t="n">
        <v>0.02</v>
      </c>
      <c r="I8" s="6">
        <f>G8*H8</f>
        <v/>
      </c>
      <c r="J8" s="6">
        <f>G8-I8</f>
        <v/>
      </c>
      <c r="K8" s="4" t="n">
        <v>45677</v>
      </c>
      <c r="L8" s="5" t="inlineStr">
        <is>
          <t>Bank Transfer</t>
        </is>
      </c>
      <c r="M8" s="5" t="inlineStr">
        <is>
          <t>Paid</t>
        </is>
      </c>
      <c r="N8" s="5" t="inlineStr">
        <is>
          <t>Yes</t>
        </is>
      </c>
      <c r="O8" s="5" t="n"/>
    </row>
    <row r="9">
      <c r="A9" s="8" t="n">
        <v>45659</v>
      </c>
      <c r="B9" s="3" t="inlineStr">
        <is>
          <t>CONT-2025-308</t>
        </is>
      </c>
      <c r="C9" s="3" t="inlineStr">
        <is>
          <t>Pest Masters</t>
        </is>
      </c>
      <c r="D9" s="3" t="inlineStr">
        <is>
          <t>VWXPM9012H</t>
        </is>
      </c>
      <c r="E9" s="3" t="inlineStr">
        <is>
          <t>Pest Control</t>
        </is>
      </c>
      <c r="F9" s="3" t="inlineStr">
        <is>
          <t>Quarterly Treatment</t>
        </is>
      </c>
      <c r="G9" s="9" t="n">
        <v>48000</v>
      </c>
      <c r="H9" s="12" t="n">
        <v>0.02</v>
      </c>
      <c r="I9" s="9">
        <f>G9*H9</f>
        <v/>
      </c>
      <c r="J9" s="9">
        <f>G9-I9</f>
        <v/>
      </c>
      <c r="K9" s="8" t="n">
        <v>45682</v>
      </c>
      <c r="L9" s="3" t="inlineStr">
        <is>
          <t>Bank Transfer</t>
        </is>
      </c>
      <c r="M9" s="3" t="inlineStr">
        <is>
          <t>Paid</t>
        </is>
      </c>
      <c r="N9" s="3" t="inlineStr">
        <is>
          <t>No</t>
        </is>
      </c>
      <c r="O9" s="3" t="n"/>
    </row>
  </sheetData>
  <autoFilter ref="A1:O9"/>
  <dataValidations count="5">
    <dataValidation sqref="H2:H1000" showDropDown="0" showInputMessage="0" showErrorMessage="0" allowBlank="1" type="list">
      <formula1>"1%,2%,10%"</formula1>
    </dataValidation>
    <dataValidation sqref="M2:M1000" showDropDown="0" showInputMessage="0" showErrorMessage="0" allowBlank="1" type="list">
      <formula1>"Paid,Pending,On Hold"</formula1>
    </dataValidation>
    <dataValidation sqref="N2:N1000" showDropDown="0" showInputMessage="0" showErrorMessage="0" allowBlank="1" type="list">
      <formula1>"Yes,No"</formula1>
    </dataValidation>
    <dataValidation sqref="E2:E1000" showDropDown="0" showInputMessage="0" showErrorMessage="0" allowBlank="1" type="list">
      <formula1>"Deep Cleaning,Regular Cleaning,Pest Control,Painting,Plumbing,Electrical,Carpentry,AC Service"</formula1>
    </dataValidation>
    <dataValidation sqref="L2:L1000" showDropDown="0" showInputMessage="0" showErrorMessage="0" allowBlank="1" type="list">
      <formula1>"Bank Transfer,UPI,Cheque,Cash"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Date</t>
        </is>
      </c>
      <c r="B1" s="2" t="inlineStr">
        <is>
          <t>Purchase ID</t>
        </is>
      </c>
      <c r="C1" s="2" t="inlineStr">
        <is>
          <t>Vendor Name</t>
        </is>
      </c>
      <c r="D1" s="2" t="inlineStr">
        <is>
          <t>Vendor GSTIN</t>
        </is>
      </c>
      <c r="E1" s="2" t="inlineStr">
        <is>
          <t>Invoice No</t>
        </is>
      </c>
      <c r="F1" s="2" t="inlineStr">
        <is>
          <t>Item Type</t>
        </is>
      </c>
      <c r="G1" s="2" t="inlineStr">
        <is>
          <t>Item Name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Rate (₹)</t>
        </is>
      </c>
      <c r="K1" s="2" t="inlineStr">
        <is>
          <t>Base Amount (₹)</t>
        </is>
      </c>
      <c r="L1" s="2" t="inlineStr">
        <is>
          <t>GST %</t>
        </is>
      </c>
      <c r="M1" s="2" t="inlineStr">
        <is>
          <t>GST Amount (₹)</t>
        </is>
      </c>
      <c r="N1" s="2" t="inlineStr">
        <is>
          <t>Total Amount (₹)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4" t="n">
        <v>45661</v>
      </c>
      <c r="B2" s="5" t="inlineStr">
        <is>
          <t>PO-2025-201</t>
        </is>
      </c>
      <c r="C2" s="5" t="inlineStr">
        <is>
          <t>Metro Cleaning Supplies</t>
        </is>
      </c>
      <c r="D2" s="5" t="inlineStr">
        <is>
          <t>29AABCM9012C3ZX</t>
        </is>
      </c>
      <c r="E2" s="5" t="inlineStr">
        <is>
          <t>INV/4453</t>
        </is>
      </c>
      <c r="F2" s="5" t="inlineStr">
        <is>
          <t>Chemical</t>
        </is>
      </c>
      <c r="G2" s="5" t="inlineStr">
        <is>
          <t>Floor Cleaner</t>
        </is>
      </c>
      <c r="H2" s="5" t="n">
        <v>44</v>
      </c>
      <c r="I2" s="5" t="inlineStr">
        <is>
          <t>Liters</t>
        </is>
      </c>
      <c r="J2" s="6" t="n">
        <v>120</v>
      </c>
      <c r="K2" s="6">
        <f>H2*J2</f>
        <v/>
      </c>
      <c r="L2" s="7" t="n">
        <v>0.18</v>
      </c>
      <c r="M2" s="6">
        <f>K2*L2</f>
        <v/>
      </c>
      <c r="N2" s="6">
        <f>K2+M2</f>
        <v/>
      </c>
      <c r="O2" s="5" t="inlineStr">
        <is>
          <t>Pending</t>
        </is>
      </c>
      <c r="P2" s="5" t="n"/>
    </row>
    <row r="3">
      <c r="A3" s="8" t="n">
        <v>45682</v>
      </c>
      <c r="B3" s="3" t="inlineStr">
        <is>
          <t>PO-2025-202</t>
        </is>
      </c>
      <c r="C3" s="3" t="inlineStr">
        <is>
          <t>Kumar Chemicals Pvt Ltd</t>
        </is>
      </c>
      <c r="D3" s="3" t="inlineStr">
        <is>
          <t>29AABCK1234A1ZV</t>
        </is>
      </c>
      <c r="E3" s="3" t="inlineStr">
        <is>
          <t>INV/2623</t>
        </is>
      </c>
      <c r="F3" s="3" t="inlineStr">
        <is>
          <t>Chemical</t>
        </is>
      </c>
      <c r="G3" s="3" t="inlineStr">
        <is>
          <t>Surface Disinfectant</t>
        </is>
      </c>
      <c r="H3" s="3" t="n">
        <v>46</v>
      </c>
      <c r="I3" s="3" t="inlineStr">
        <is>
          <t>Liters</t>
        </is>
      </c>
      <c r="J3" s="9" t="n">
        <v>180</v>
      </c>
      <c r="K3" s="9">
        <f>H3*J3</f>
        <v/>
      </c>
      <c r="L3" s="10" t="n">
        <v>0.18</v>
      </c>
      <c r="M3" s="9">
        <f>K3*L3</f>
        <v/>
      </c>
      <c r="N3" s="9">
        <f>K3+M3</f>
        <v/>
      </c>
      <c r="O3" s="3" t="inlineStr">
        <is>
          <t>Paid</t>
        </is>
      </c>
      <c r="P3" s="3" t="n"/>
    </row>
    <row r="4">
      <c r="A4" s="4" t="n">
        <v>45666</v>
      </c>
      <c r="B4" s="5" t="inlineStr">
        <is>
          <t>PO-2025-203</t>
        </is>
      </c>
      <c r="C4" s="5" t="inlineStr">
        <is>
          <t>City Supplies</t>
        </is>
      </c>
      <c r="D4" s="5" t="inlineStr">
        <is>
          <t>29AABCS5678B2ZW</t>
        </is>
      </c>
      <c r="E4" s="5" t="inlineStr">
        <is>
          <t>INV/5389</t>
        </is>
      </c>
      <c r="F4" s="5" t="inlineStr">
        <is>
          <t>Accessory</t>
        </is>
      </c>
      <c r="G4" s="5" t="inlineStr">
        <is>
          <t>Microfiber Cloth</t>
        </is>
      </c>
      <c r="H4" s="5" t="n">
        <v>92</v>
      </c>
      <c r="I4" s="5" t="inlineStr">
        <is>
          <t>Pieces</t>
        </is>
      </c>
      <c r="J4" s="6" t="n">
        <v>80</v>
      </c>
      <c r="K4" s="6">
        <f>H4*J4</f>
        <v/>
      </c>
      <c r="L4" s="7" t="n">
        <v>0.18</v>
      </c>
      <c r="M4" s="6">
        <f>K4*L4</f>
        <v/>
      </c>
      <c r="N4" s="6">
        <f>K4+M4</f>
        <v/>
      </c>
      <c r="O4" s="5" t="inlineStr">
        <is>
          <t>Pending</t>
        </is>
      </c>
      <c r="P4" s="5" t="n"/>
    </row>
    <row r="5">
      <c r="A5" s="8" t="n">
        <v>45663</v>
      </c>
      <c r="B5" s="3" t="inlineStr">
        <is>
          <t>PO-2025-204</t>
        </is>
      </c>
      <c r="C5" s="3" t="inlineStr">
        <is>
          <t>Metro Cleaning Supplies</t>
        </is>
      </c>
      <c r="D5" s="3" t="inlineStr">
        <is>
          <t>29AABCM9012C3ZX</t>
        </is>
      </c>
      <c r="E5" s="3" t="inlineStr">
        <is>
          <t>INV/7216</t>
        </is>
      </c>
      <c r="F5" s="3" t="inlineStr">
        <is>
          <t>Accessory</t>
        </is>
      </c>
      <c r="G5" s="3" t="inlineStr">
        <is>
          <t>Rubber Gloves</t>
        </is>
      </c>
      <c r="H5" s="3" t="n">
        <v>93</v>
      </c>
      <c r="I5" s="3" t="inlineStr">
        <is>
          <t>Pairs</t>
        </is>
      </c>
      <c r="J5" s="9" t="n">
        <v>45</v>
      </c>
      <c r="K5" s="9">
        <f>H5*J5</f>
        <v/>
      </c>
      <c r="L5" s="10" t="n">
        <v>0.18</v>
      </c>
      <c r="M5" s="9">
        <f>K5*L5</f>
        <v/>
      </c>
      <c r="N5" s="9">
        <f>K5+M5</f>
        <v/>
      </c>
      <c r="O5" s="3" t="inlineStr">
        <is>
          <t>Paid</t>
        </is>
      </c>
      <c r="P5" s="3" t="n"/>
    </row>
    <row r="6">
      <c r="A6" s="4" t="n">
        <v>45666</v>
      </c>
      <c r="B6" s="5" t="inlineStr">
        <is>
          <t>PO-2025-205</t>
        </is>
      </c>
      <c r="C6" s="5" t="inlineStr">
        <is>
          <t>City Supplies</t>
        </is>
      </c>
      <c r="D6" s="5" t="inlineStr">
        <is>
          <t>29AABCS5678B2ZW</t>
        </is>
      </c>
      <c r="E6" s="5" t="inlineStr">
        <is>
          <t>INV/3200</t>
        </is>
      </c>
      <c r="F6" s="5" t="inlineStr">
        <is>
          <t>Chemical</t>
        </is>
      </c>
      <c r="G6" s="5" t="inlineStr">
        <is>
          <t>Floor Cleaner</t>
        </is>
      </c>
      <c r="H6" s="5" t="n">
        <v>23</v>
      </c>
      <c r="I6" s="5" t="inlineStr">
        <is>
          <t>Liters</t>
        </is>
      </c>
      <c r="J6" s="6" t="n">
        <v>120</v>
      </c>
      <c r="K6" s="6">
        <f>H6*J6</f>
        <v/>
      </c>
      <c r="L6" s="7" t="n">
        <v>0.18</v>
      </c>
      <c r="M6" s="6">
        <f>K6*L6</f>
        <v/>
      </c>
      <c r="N6" s="6">
        <f>K6+M6</f>
        <v/>
      </c>
      <c r="O6" s="5" t="inlineStr">
        <is>
          <t>Paid</t>
        </is>
      </c>
      <c r="P6" s="5" t="n"/>
    </row>
    <row r="7">
      <c r="A7" s="8" t="n">
        <v>45685</v>
      </c>
      <c r="B7" s="3" t="inlineStr">
        <is>
          <t>PO-2025-206</t>
        </is>
      </c>
      <c r="C7" s="3" t="inlineStr">
        <is>
          <t>Metro Cleaning Supplies</t>
        </is>
      </c>
      <c r="D7" s="3" t="inlineStr">
        <is>
          <t>29AABCM9012C3ZX</t>
        </is>
      </c>
      <c r="E7" s="3" t="inlineStr">
        <is>
          <t>INV/7037</t>
        </is>
      </c>
      <c r="F7" s="3" t="inlineStr">
        <is>
          <t>Accessory</t>
        </is>
      </c>
      <c r="G7" s="3" t="inlineStr">
        <is>
          <t>Microfiber Cloth</t>
        </is>
      </c>
      <c r="H7" s="3" t="n">
        <v>46</v>
      </c>
      <c r="I7" s="3" t="inlineStr">
        <is>
          <t>Pieces</t>
        </is>
      </c>
      <c r="J7" s="9" t="n">
        <v>80</v>
      </c>
      <c r="K7" s="9">
        <f>H7*J7</f>
        <v/>
      </c>
      <c r="L7" s="10" t="n">
        <v>0.18</v>
      </c>
      <c r="M7" s="9">
        <f>K7*L7</f>
        <v/>
      </c>
      <c r="N7" s="9">
        <f>K7+M7</f>
        <v/>
      </c>
      <c r="O7" s="3" t="inlineStr">
        <is>
          <t>Pending</t>
        </is>
      </c>
      <c r="P7" s="3" t="n"/>
    </row>
    <row r="8">
      <c r="A8" s="4" t="n">
        <v>45681</v>
      </c>
      <c r="B8" s="5" t="inlineStr">
        <is>
          <t>PO-2025-207</t>
        </is>
      </c>
      <c r="C8" s="5" t="inlineStr">
        <is>
          <t>Metro Cleaning Supplies</t>
        </is>
      </c>
      <c r="D8" s="5" t="inlineStr">
        <is>
          <t>29AABCM9012C3ZX</t>
        </is>
      </c>
      <c r="E8" s="5" t="inlineStr">
        <is>
          <t>INV/4368</t>
        </is>
      </c>
      <c r="F8" s="5" t="inlineStr">
        <is>
          <t>Accessory</t>
        </is>
      </c>
      <c r="G8" s="5" t="inlineStr">
        <is>
          <t>Microfiber Cloth</t>
        </is>
      </c>
      <c r="H8" s="5" t="n">
        <v>11</v>
      </c>
      <c r="I8" s="5" t="inlineStr">
        <is>
          <t>Pieces</t>
        </is>
      </c>
      <c r="J8" s="6" t="n">
        <v>80</v>
      </c>
      <c r="K8" s="6">
        <f>H8*J8</f>
        <v/>
      </c>
      <c r="L8" s="7" t="n">
        <v>0.18</v>
      </c>
      <c r="M8" s="6">
        <f>K8*L8</f>
        <v/>
      </c>
      <c r="N8" s="6">
        <f>K8+M8</f>
        <v/>
      </c>
      <c r="O8" s="5" t="inlineStr">
        <is>
          <t>Pending</t>
        </is>
      </c>
      <c r="P8" s="5" t="n"/>
    </row>
    <row r="9">
      <c r="A9" s="8" t="n">
        <v>45676</v>
      </c>
      <c r="B9" s="3" t="inlineStr">
        <is>
          <t>PO-2025-208</t>
        </is>
      </c>
      <c r="C9" s="3" t="inlineStr">
        <is>
          <t>Kumar Chemicals Pvt Ltd</t>
        </is>
      </c>
      <c r="D9" s="3" t="inlineStr">
        <is>
          <t>29AABCK1234A1ZV</t>
        </is>
      </c>
      <c r="E9" s="3" t="inlineStr">
        <is>
          <t>INV/7055</t>
        </is>
      </c>
      <c r="F9" s="3" t="inlineStr">
        <is>
          <t>Accessory</t>
        </is>
      </c>
      <c r="G9" s="3" t="inlineStr">
        <is>
          <t>Microfiber Cloth</t>
        </is>
      </c>
      <c r="H9" s="3" t="n">
        <v>86</v>
      </c>
      <c r="I9" s="3" t="inlineStr">
        <is>
          <t>Pieces</t>
        </is>
      </c>
      <c r="J9" s="9" t="n">
        <v>80</v>
      </c>
      <c r="K9" s="9">
        <f>H9*J9</f>
        <v/>
      </c>
      <c r="L9" s="10" t="n">
        <v>0.18</v>
      </c>
      <c r="M9" s="9">
        <f>K9*L9</f>
        <v/>
      </c>
      <c r="N9" s="9">
        <f>K9+M9</f>
        <v/>
      </c>
      <c r="O9" s="3" t="inlineStr">
        <is>
          <t>Pending</t>
        </is>
      </c>
      <c r="P9" s="3" t="n"/>
    </row>
    <row r="10">
      <c r="A10" s="4" t="n">
        <v>45680</v>
      </c>
      <c r="B10" s="5" t="inlineStr">
        <is>
          <t>PO-2025-209</t>
        </is>
      </c>
      <c r="C10" s="5" t="inlineStr">
        <is>
          <t>City Supplies</t>
        </is>
      </c>
      <c r="D10" s="5" t="inlineStr">
        <is>
          <t>29AABCS5678B2ZW</t>
        </is>
      </c>
      <c r="E10" s="5" t="inlineStr">
        <is>
          <t>INV/1628</t>
        </is>
      </c>
      <c r="F10" s="5" t="inlineStr">
        <is>
          <t>Chemical</t>
        </is>
      </c>
      <c r="G10" s="5" t="inlineStr">
        <is>
          <t>Glass Cleaner</t>
        </is>
      </c>
      <c r="H10" s="5" t="n">
        <v>57</v>
      </c>
      <c r="I10" s="5" t="inlineStr">
        <is>
          <t>Liters</t>
        </is>
      </c>
      <c r="J10" s="6" t="n">
        <v>95</v>
      </c>
      <c r="K10" s="6">
        <f>H10*J10</f>
        <v/>
      </c>
      <c r="L10" s="7" t="n">
        <v>0.18</v>
      </c>
      <c r="M10" s="6">
        <f>K10*L10</f>
        <v/>
      </c>
      <c r="N10" s="6">
        <f>K10+M10</f>
        <v/>
      </c>
      <c r="O10" s="5" t="inlineStr">
        <is>
          <t>Pending</t>
        </is>
      </c>
      <c r="P10" s="5" t="n"/>
    </row>
    <row r="11">
      <c r="A11" s="8" t="n">
        <v>45663</v>
      </c>
      <c r="B11" s="3" t="inlineStr">
        <is>
          <t>PO-2025-210</t>
        </is>
      </c>
      <c r="C11" s="3" t="inlineStr">
        <is>
          <t>City Supplies</t>
        </is>
      </c>
      <c r="D11" s="3" t="inlineStr">
        <is>
          <t>29AABCS5678B2ZW</t>
        </is>
      </c>
      <c r="E11" s="3" t="inlineStr">
        <is>
          <t>INV/6895</t>
        </is>
      </c>
      <c r="F11" s="3" t="inlineStr">
        <is>
          <t>Chemical</t>
        </is>
      </c>
      <c r="G11" s="3" t="inlineStr">
        <is>
          <t>Floor Cleaner</t>
        </is>
      </c>
      <c r="H11" s="3" t="n">
        <v>37</v>
      </c>
      <c r="I11" s="3" t="inlineStr">
        <is>
          <t>Liters</t>
        </is>
      </c>
      <c r="J11" s="9" t="n">
        <v>120</v>
      </c>
      <c r="K11" s="9">
        <f>H11*J11</f>
        <v/>
      </c>
      <c r="L11" s="10" t="n">
        <v>0.18</v>
      </c>
      <c r="M11" s="9">
        <f>K11*L11</f>
        <v/>
      </c>
      <c r="N11" s="9">
        <f>K11+M11</f>
        <v/>
      </c>
      <c r="O11" s="3" t="inlineStr">
        <is>
          <t>Paid</t>
        </is>
      </c>
      <c r="P11" s="3" t="n"/>
    </row>
  </sheetData>
  <autoFilter ref="A1:P11"/>
  <dataValidations count="3">
    <dataValidation sqref="F2:F1000" showDropDown="0" showInputMessage="0" showErrorMessage="0" allowBlank="1" type="list">
      <formula1>"Chemical,Accessory,Machine,Spare Part"</formula1>
    </dataValidation>
    <dataValidation sqref="O2:O1000" showDropDown="0" showInputMessage="0" showErrorMessage="0" allowBlank="1" type="list">
      <formula1>"Paid,Pending"</formula1>
    </dataValidation>
    <dataValidation sqref="L2:L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5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Machine ID</t>
        </is>
      </c>
      <c r="B1" s="2" t="inlineStr">
        <is>
          <t>Machine Name</t>
        </is>
      </c>
      <c r="C1" s="2" t="inlineStr">
        <is>
          <t>Model</t>
        </is>
      </c>
      <c r="D1" s="2" t="inlineStr">
        <is>
          <t>Category</t>
        </is>
      </c>
      <c r="E1" s="2" t="inlineStr">
        <is>
          <t>Purchase Date</t>
        </is>
      </c>
      <c r="F1" s="2" t="inlineStr">
        <is>
          <t>Purchase Invoice No</t>
        </is>
      </c>
      <c r="G1" s="2" t="inlineStr">
        <is>
          <t>Vendor GST No</t>
        </is>
      </c>
      <c r="H1" s="2" t="inlineStr">
        <is>
          <t>Base Cost (₹)</t>
        </is>
      </c>
      <c r="I1" s="2" t="inlineStr">
        <is>
          <t>GST %</t>
        </is>
      </c>
      <c r="J1" s="2" t="inlineStr">
        <is>
          <t>GST Amount (₹)</t>
        </is>
      </c>
      <c r="K1" s="2" t="inlineStr">
        <is>
          <t>Total Cost (₹)</t>
        </is>
      </c>
      <c r="L1" s="2" t="inlineStr">
        <is>
          <t>Current Status</t>
        </is>
      </c>
      <c r="M1" s="2" t="inlineStr">
        <is>
          <t>Location</t>
        </is>
      </c>
      <c r="N1" s="2" t="inlineStr">
        <is>
          <t>Notes</t>
        </is>
      </c>
    </row>
    <row r="2">
      <c r="A2" s="5" t="inlineStr">
        <is>
          <t>M001</t>
        </is>
      </c>
      <c r="B2" s="5" t="inlineStr">
        <is>
          <t>Floor Scrubber</t>
        </is>
      </c>
      <c r="C2" s="5" t="inlineStr">
        <is>
          <t>Karcher BD 50/50</t>
        </is>
      </c>
      <c r="D2" s="5" t="inlineStr">
        <is>
          <t>Cleaning Machine</t>
        </is>
      </c>
      <c r="E2" s="4" t="n">
        <v>45000</v>
      </c>
      <c r="F2" s="5" t="inlineStr">
        <is>
          <t>INV/K/2023/1234</t>
        </is>
      </c>
      <c r="G2" s="5" t="inlineStr">
        <is>
          <t>29AABCK1234A1Z5</t>
        </is>
      </c>
      <c r="H2" s="6" t="n">
        <v>72034</v>
      </c>
      <c r="I2" s="7" t="n">
        <v>0.18</v>
      </c>
      <c r="J2" s="6">
        <f>H2*I2</f>
        <v/>
      </c>
      <c r="K2" s="6">
        <f>H2+J2</f>
        <v/>
      </c>
      <c r="L2" s="5" t="inlineStr">
        <is>
          <t>Active</t>
        </is>
      </c>
      <c r="M2" s="5" t="inlineStr">
        <is>
          <t>Team A</t>
        </is>
      </c>
      <c r="N2" s="5" t="n"/>
    </row>
    <row r="3">
      <c r="A3" s="3" t="inlineStr">
        <is>
          <t>M002</t>
        </is>
      </c>
      <c r="B3" s="3" t="inlineStr">
        <is>
          <t>Pressure Washer</t>
        </is>
      </c>
      <c r="C3" s="3" t="inlineStr">
        <is>
          <t>Bosch AQT 45-14X</t>
        </is>
      </c>
      <c r="D3" s="3" t="inlineStr">
        <is>
          <t>Cleaning Machine</t>
        </is>
      </c>
      <c r="E3" s="8" t="n">
        <v>45066</v>
      </c>
      <c r="F3" s="3" t="inlineStr">
        <is>
          <t>INV/B/2023/5678</t>
        </is>
      </c>
      <c r="G3" s="3" t="inlineStr">
        <is>
          <t>29AABCB5678B2Z6</t>
        </is>
      </c>
      <c r="H3" s="9" t="n">
        <v>38136</v>
      </c>
      <c r="I3" s="10" t="n">
        <v>0.18</v>
      </c>
      <c r="J3" s="9">
        <f>H3*I3</f>
        <v/>
      </c>
      <c r="K3" s="9">
        <f>H3+J3</f>
        <v/>
      </c>
      <c r="L3" s="3" t="inlineStr">
        <is>
          <t>Active</t>
        </is>
      </c>
      <c r="M3" s="3" t="inlineStr">
        <is>
          <t>Team B</t>
        </is>
      </c>
      <c r="N3" s="3" t="n"/>
    </row>
    <row r="4">
      <c r="A4" s="5" t="inlineStr">
        <is>
          <t>M003</t>
        </is>
      </c>
      <c r="B4" s="5" t="inlineStr">
        <is>
          <t>Vacuum Cleaner</t>
        </is>
      </c>
      <c r="C4" s="5" t="inlineStr">
        <is>
          <t>Eureka Forbes Pro</t>
        </is>
      </c>
      <c r="D4" s="5" t="inlineStr">
        <is>
          <t>Cleaning Machine</t>
        </is>
      </c>
      <c r="E4" s="4" t="n">
        <v>44783</v>
      </c>
      <c r="F4" s="5" t="inlineStr">
        <is>
          <t>INV/E/2022/9012</t>
        </is>
      </c>
      <c r="G4" s="5" t="inlineStr">
        <is>
          <t>29AABCE9012C3Z7</t>
        </is>
      </c>
      <c r="H4" s="6" t="n">
        <v>23729</v>
      </c>
      <c r="I4" s="7" t="n">
        <v>0.18</v>
      </c>
      <c r="J4" s="6">
        <f>H4*I4</f>
        <v/>
      </c>
      <c r="K4" s="6">
        <f>H4+J4</f>
        <v/>
      </c>
      <c r="L4" s="5" t="inlineStr">
        <is>
          <t>Active</t>
        </is>
      </c>
      <c r="M4" s="5" t="inlineStr">
        <is>
          <t>Team A</t>
        </is>
      </c>
      <c r="N4" s="5" t="n"/>
    </row>
    <row r="5">
      <c r="A5" s="3" t="inlineStr">
        <is>
          <t>M004</t>
        </is>
      </c>
      <c r="B5" s="3" t="inlineStr">
        <is>
          <t>Pest Control Sprayer</t>
        </is>
      </c>
      <c r="C5" s="3" t="inlineStr">
        <is>
          <t>Solo 475</t>
        </is>
      </c>
      <c r="D5" s="3" t="inlineStr">
        <is>
          <t>Spray Equipment</t>
        </is>
      </c>
      <c r="E5" s="8" t="n">
        <v>44931</v>
      </c>
      <c r="F5" s="3" t="inlineStr">
        <is>
          <t>INV/S/2023/3456</t>
        </is>
      </c>
      <c r="G5" s="3" t="inlineStr">
        <is>
          <t>29AABCS3456D4Z8</t>
        </is>
      </c>
      <c r="H5" s="9" t="n">
        <v>12712</v>
      </c>
      <c r="I5" s="10" t="n">
        <v>0.18</v>
      </c>
      <c r="J5" s="9">
        <f>H5*I5</f>
        <v/>
      </c>
      <c r="K5" s="9">
        <f>H5+J5</f>
        <v/>
      </c>
      <c r="L5" s="3" t="inlineStr">
        <is>
          <t>Active</t>
        </is>
      </c>
      <c r="M5" s="3" t="inlineStr">
        <is>
          <t>Pest Team</t>
        </is>
      </c>
      <c r="N5" s="3" t="n"/>
    </row>
    <row r="6">
      <c r="A6" s="5" t="inlineStr">
        <is>
          <t>M005</t>
        </is>
      </c>
      <c r="B6" s="5" t="inlineStr">
        <is>
          <t>Paint Sprayer</t>
        </is>
      </c>
      <c r="C6" s="5" t="inlineStr">
        <is>
          <t>Graco Magnum X5</t>
        </is>
      </c>
      <c r="D6" s="5" t="inlineStr">
        <is>
          <t>Spray Equipment</t>
        </is>
      </c>
      <c r="E6" s="4" t="n">
        <v>45119</v>
      </c>
      <c r="F6" s="5" t="inlineStr">
        <is>
          <t>INV/G/2023/7890</t>
        </is>
      </c>
      <c r="G6" s="5" t="inlineStr">
        <is>
          <t>29AABCG7890E5Z9</t>
        </is>
      </c>
      <c r="H6" s="6" t="n">
        <v>55085</v>
      </c>
      <c r="I6" s="7" t="n">
        <v>0.18</v>
      </c>
      <c r="J6" s="6">
        <f>H6*I6</f>
        <v/>
      </c>
      <c r="K6" s="6">
        <f>H6+J6</f>
        <v/>
      </c>
      <c r="L6" s="5" t="inlineStr">
        <is>
          <t>Under Repair</t>
        </is>
      </c>
      <c r="M6" s="5" t="inlineStr">
        <is>
          <t>Painting</t>
        </is>
      </c>
      <c r="N6" s="5" t="n"/>
    </row>
    <row r="7">
      <c r="A7" s="3" t="inlineStr">
        <is>
          <t>M006</t>
        </is>
      </c>
      <c r="B7" s="3" t="inlineStr">
        <is>
          <t>Drill Machine</t>
        </is>
      </c>
      <c r="C7" s="3" t="inlineStr">
        <is>
          <t>Bosch GSB 600</t>
        </is>
      </c>
      <c r="D7" s="3" t="inlineStr">
        <is>
          <t>Power Tools</t>
        </is>
      </c>
      <c r="E7" s="8" t="n">
        <v>44669</v>
      </c>
      <c r="F7" s="3" t="inlineStr">
        <is>
          <t>INV/B/2022/1111</t>
        </is>
      </c>
      <c r="G7" s="3" t="inlineStr">
        <is>
          <t>29AABCB5678B2Z6</t>
        </is>
      </c>
      <c r="H7" s="9" t="n">
        <v>7203</v>
      </c>
      <c r="I7" s="10" t="n">
        <v>0.18</v>
      </c>
      <c r="J7" s="9">
        <f>H7*I7</f>
        <v/>
      </c>
      <c r="K7" s="9">
        <f>H7+J7</f>
        <v/>
      </c>
      <c r="L7" s="3" t="inlineStr">
        <is>
          <t>Active</t>
        </is>
      </c>
      <c r="M7" s="3" t="inlineStr">
        <is>
          <t>General</t>
        </is>
      </c>
      <c r="N7" s="3" t="n"/>
    </row>
    <row r="8">
      <c r="A8" s="5" t="inlineStr">
        <is>
          <t>M007</t>
        </is>
      </c>
      <c r="B8" s="5" t="inlineStr">
        <is>
          <t>Angle Grinder</t>
        </is>
      </c>
      <c r="C8" s="5" t="inlineStr">
        <is>
          <t>Makita GA4030</t>
        </is>
      </c>
      <c r="D8" s="5" t="inlineStr">
        <is>
          <t>Power Tools</t>
        </is>
      </c>
      <c r="E8" s="4" t="n">
        <v>44979</v>
      </c>
      <c r="F8" s="5" t="inlineStr">
        <is>
          <t>INV/M/2023/2222</t>
        </is>
      </c>
      <c r="G8" s="5" t="inlineStr">
        <is>
          <t>29AABCM2222F6Z0</t>
        </is>
      </c>
      <c r="H8" s="6" t="n">
        <v>5508</v>
      </c>
      <c r="I8" s="7" t="n">
        <v>0.18</v>
      </c>
      <c r="J8" s="6">
        <f>H8*I8</f>
        <v/>
      </c>
      <c r="K8" s="6">
        <f>H8+J8</f>
        <v/>
      </c>
      <c r="L8" s="5" t="inlineStr">
        <is>
          <t>Active</t>
        </is>
      </c>
      <c r="M8" s="5" t="inlineStr">
        <is>
          <t>General</t>
        </is>
      </c>
      <c r="N8" s="5" t="n"/>
    </row>
    <row r="9">
      <c r="A9" s="3" t="inlineStr">
        <is>
          <t>M008</t>
        </is>
      </c>
      <c r="B9" s="3" t="inlineStr">
        <is>
          <t>Steam Cleaner</t>
        </is>
      </c>
      <c r="C9" s="3" t="inlineStr">
        <is>
          <t>Karcher SC3</t>
        </is>
      </c>
      <c r="D9" s="3" t="inlineStr">
        <is>
          <t>Cleaning Machine</t>
        </is>
      </c>
      <c r="E9" s="8" t="n">
        <v>45299</v>
      </c>
      <c r="F9" s="3" t="inlineStr">
        <is>
          <t>INV/K/2024/3333</t>
        </is>
      </c>
      <c r="G9" s="3" t="inlineStr">
        <is>
          <t>29AABCK1234A1Z5</t>
        </is>
      </c>
      <c r="H9" s="9" t="n">
        <v>29661</v>
      </c>
      <c r="I9" s="10" t="n">
        <v>0.18</v>
      </c>
      <c r="J9" s="9">
        <f>H9*I9</f>
        <v/>
      </c>
      <c r="K9" s="9">
        <f>H9+J9</f>
        <v/>
      </c>
      <c r="L9" s="3" t="inlineStr">
        <is>
          <t>Active</t>
        </is>
      </c>
      <c r="M9" s="3" t="inlineStr">
        <is>
          <t>Team C</t>
        </is>
      </c>
      <c r="N9" s="3" t="n"/>
    </row>
  </sheetData>
  <autoFilter ref="A1:N9"/>
  <dataValidations count="3">
    <dataValidation sqref="D2:D1000" showDropDown="0" showInputMessage="0" showErrorMessage="0" allowBlank="1" type="list">
      <formula1>"Cleaning Machine,Spray Equipment,Power Tools,Safety Equipment"</formula1>
    </dataValidation>
    <dataValidation sqref="L2:L1000" showDropDown="0" showInputMessage="0" showErrorMessage="0" allowBlank="1" type="list">
      <formula1>"Active,Under Repair,Retired"</formula1>
    </dataValidation>
    <dataValidation sqref="I2:I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Machine ID</t>
        </is>
      </c>
      <c r="C1" s="2" t="inlineStr">
        <is>
          <t>Machine Name</t>
        </is>
      </c>
      <c r="D1" s="2" t="inlineStr">
        <is>
          <t>Maintenance Type</t>
        </is>
      </c>
      <c r="E1" s="2" t="inlineStr">
        <is>
          <t>Description</t>
        </is>
      </c>
      <c r="F1" s="2" t="inlineStr">
        <is>
          <t>Base Cost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Cost (₹)</t>
        </is>
      </c>
      <c r="J1" s="2" t="inlineStr">
        <is>
          <t>Done By</t>
        </is>
      </c>
      <c r="K1" s="2" t="inlineStr">
        <is>
          <t>Next Service</t>
        </is>
      </c>
      <c r="L1" s="2" t="inlineStr">
        <is>
          <t>Service Status</t>
        </is>
      </c>
      <c r="M1" s="2" t="inlineStr">
        <is>
          <t>Notes</t>
        </is>
      </c>
    </row>
    <row r="2">
      <c r="A2" s="4" t="n">
        <v>45505</v>
      </c>
      <c r="B2" s="5" t="inlineStr">
        <is>
          <t>M001</t>
        </is>
      </c>
      <c r="C2" s="5" t="inlineStr">
        <is>
          <t>Floor Scrubber</t>
        </is>
      </c>
      <c r="D2" s="5" t="inlineStr">
        <is>
          <t>Service</t>
        </is>
      </c>
      <c r="E2" s="5" t="inlineStr">
        <is>
          <t>Brush replacement</t>
        </is>
      </c>
      <c r="F2" s="6" t="n">
        <v>3814</v>
      </c>
      <c r="G2" s="7" t="n">
        <v>0.18</v>
      </c>
      <c r="H2" s="6">
        <f>F2*G2</f>
        <v/>
      </c>
      <c r="I2" s="6">
        <f>F2+H2</f>
        <v/>
      </c>
      <c r="J2" s="5" t="inlineStr">
        <is>
          <t>Karcher Service</t>
        </is>
      </c>
      <c r="K2" s="4" t="n">
        <v>45689</v>
      </c>
      <c r="L2" s="5" t="inlineStr">
        <is>
          <t>Service Completed</t>
        </is>
      </c>
      <c r="M2" s="5" t="n"/>
    </row>
    <row r="3">
      <c r="A3" s="8" t="n">
        <v>45540</v>
      </c>
      <c r="B3" s="3" t="inlineStr">
        <is>
          <t>M002</t>
        </is>
      </c>
      <c r="C3" s="3" t="inlineStr">
        <is>
          <t>Pressure Washer</t>
        </is>
      </c>
      <c r="D3" s="3" t="inlineStr">
        <is>
          <t>Repair</t>
        </is>
      </c>
      <c r="E3" s="3" t="inlineStr">
        <is>
          <t>Nozzle fixed</t>
        </is>
      </c>
      <c r="F3" s="9" t="n">
        <v>1525</v>
      </c>
      <c r="G3" s="10" t="n">
        <v>0.18</v>
      </c>
      <c r="H3" s="9">
        <f>F3*G3</f>
        <v/>
      </c>
      <c r="I3" s="9">
        <f>F3+H3</f>
        <v/>
      </c>
      <c r="J3" s="3" t="inlineStr">
        <is>
          <t>Bosch Service</t>
        </is>
      </c>
      <c r="K3" s="8" t="n">
        <v>45721</v>
      </c>
      <c r="L3" s="3" t="inlineStr">
        <is>
          <t>Service Completed</t>
        </is>
      </c>
      <c r="M3" s="3" t="n"/>
    </row>
    <row r="4">
      <c r="A4" s="4" t="n">
        <v>45575</v>
      </c>
      <c r="B4" s="5" t="inlineStr">
        <is>
          <t>M003</t>
        </is>
      </c>
      <c r="C4" s="5" t="inlineStr">
        <is>
          <t>Vacuum Cleaner</t>
        </is>
      </c>
      <c r="D4" s="5" t="inlineStr">
        <is>
          <t>Service</t>
        </is>
      </c>
      <c r="E4" s="5" t="inlineStr">
        <is>
          <t>Filter cleaning</t>
        </is>
      </c>
      <c r="F4" s="6" t="n">
        <v>678</v>
      </c>
      <c r="G4" s="7" t="n">
        <v>0.18</v>
      </c>
      <c r="H4" s="6">
        <f>F4*G4</f>
        <v/>
      </c>
      <c r="I4" s="6">
        <f>F4+H4</f>
        <v/>
      </c>
      <c r="J4" s="5" t="inlineStr">
        <is>
          <t>In-house</t>
        </is>
      </c>
      <c r="K4" s="4" t="n">
        <v>45757</v>
      </c>
      <c r="L4" s="5" t="inlineStr">
        <is>
          <t>Service Completed</t>
        </is>
      </c>
      <c r="M4" s="5" t="n"/>
    </row>
    <row r="5">
      <c r="A5" s="8" t="n">
        <v>45611</v>
      </c>
      <c r="B5" s="3" t="inlineStr">
        <is>
          <t>M005</t>
        </is>
      </c>
      <c r="C5" s="3" t="inlineStr">
        <is>
          <t>Paint Sprayer</t>
        </is>
      </c>
      <c r="D5" s="3" t="inlineStr">
        <is>
          <t>Repair</t>
        </is>
      </c>
      <c r="E5" s="3" t="inlineStr">
        <is>
          <t>Motor rewinding</t>
        </is>
      </c>
      <c r="F5" s="9" t="n">
        <v>7203</v>
      </c>
      <c r="G5" s="10" t="n">
        <v>0.18</v>
      </c>
      <c r="H5" s="9">
        <f>F5*G5</f>
        <v/>
      </c>
      <c r="I5" s="9">
        <f>F5+H5</f>
        <v/>
      </c>
      <c r="J5" s="3" t="inlineStr">
        <is>
          <t>Graco Service</t>
        </is>
      </c>
      <c r="K5" s="8" t="n">
        <v>45792</v>
      </c>
      <c r="L5" s="3" t="inlineStr">
        <is>
          <t>Out for Service</t>
        </is>
      </c>
      <c r="M5" s="3" t="n"/>
    </row>
    <row r="6">
      <c r="A6" s="4" t="n">
        <v>45662</v>
      </c>
      <c r="B6" s="5" t="inlineStr">
        <is>
          <t>M004</t>
        </is>
      </c>
      <c r="C6" s="5" t="inlineStr">
        <is>
          <t>Pest Sprayer</t>
        </is>
      </c>
      <c r="D6" s="5" t="inlineStr">
        <is>
          <t>Service</t>
        </is>
      </c>
      <c r="E6" s="5" t="inlineStr">
        <is>
          <t>Valve check</t>
        </is>
      </c>
      <c r="F6" s="6" t="n">
        <v>424</v>
      </c>
      <c r="G6" s="7" t="n">
        <v>0.18</v>
      </c>
      <c r="H6" s="6">
        <f>F6*G6</f>
        <v/>
      </c>
      <c r="I6" s="6">
        <f>F6+H6</f>
        <v/>
      </c>
      <c r="J6" s="5" t="inlineStr">
        <is>
          <t>In-house</t>
        </is>
      </c>
      <c r="K6" s="4" t="n">
        <v>45843</v>
      </c>
      <c r="L6" s="5" t="inlineStr">
        <is>
          <t>Service Completed</t>
        </is>
      </c>
      <c r="M6" s="5" t="n"/>
    </row>
  </sheetData>
  <autoFilter ref="A1:M6"/>
  <dataValidations count="4">
    <dataValidation sqref="D2:D1000" showDropDown="0" showInputMessage="0" showErrorMessage="0" allowBlank="1" type="list">
      <formula1>"Repair,Service,Parts Replacement"</formula1>
    </dataValidation>
    <dataValidation sqref="B2:B1000" showDropDown="0" showInputMessage="0" showErrorMessage="0" allowBlank="1" type="list">
      <formula1>"M001,M002,M003,M004,M005,M006,M007,M008"</formula1>
    </dataValidation>
    <dataValidation sqref="G2:G1000" showDropDown="0" showInputMessage="0" showErrorMessage="0" allowBlank="1" type="list">
      <formula1>"0%,5%,12%,18%"</formula1>
    </dataValidation>
    <dataValidation sqref="L2:L1000" showDropDown="0" showInputMessage="0" showErrorMessage="0" allowBlank="1" type="list">
      <formula1>"Service Completed,Out for Service,Delay in Delivery,Pending,In Progress"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Item ID</t>
        </is>
      </c>
      <c r="B1" s="2" t="inlineStr">
        <is>
          <t>Chemical Name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Unit Rate (₹)</t>
        </is>
      </c>
      <c r="G1" s="2" t="inlineStr">
        <is>
          <t>Opening Stock</t>
        </is>
      </c>
      <c r="H1" s="2" t="inlineStr">
        <is>
          <t>Stock Added</t>
        </is>
      </c>
      <c r="I1" s="2" t="inlineStr">
        <is>
          <t>Stock Used</t>
        </is>
      </c>
      <c r="J1" s="2" t="inlineStr">
        <is>
          <t>Closing Stock</t>
        </is>
      </c>
      <c r="K1" s="2" t="inlineStr">
        <is>
          <t>Min Level</t>
        </is>
      </c>
      <c r="L1" s="2" t="inlineStr">
        <is>
          <t>Status</t>
        </is>
      </c>
      <c r="M1" s="2" t="inlineStr">
        <is>
          <t>Est. Value (₹)</t>
        </is>
      </c>
      <c r="N1" s="2" t="inlineStr">
        <is>
          <t>Last Updated</t>
        </is>
      </c>
    </row>
    <row r="2">
      <c r="A2" s="5" t="inlineStr">
        <is>
          <t>CH001</t>
        </is>
      </c>
      <c r="B2" s="5" t="inlineStr">
        <is>
          <t>Floor Cleaner</t>
        </is>
      </c>
      <c r="C2" s="5" t="inlineStr">
        <is>
          <t>Lizol</t>
        </is>
      </c>
      <c r="D2" s="5" t="inlineStr">
        <is>
          <t>Cleaning Agents</t>
        </is>
      </c>
      <c r="E2" s="5" t="inlineStr">
        <is>
          <t>Liters</t>
        </is>
      </c>
      <c r="F2" s="6" t="n">
        <v>120</v>
      </c>
      <c r="G2" s="5" t="n">
        <v>50</v>
      </c>
      <c r="H2" s="5" t="n">
        <v>100</v>
      </c>
      <c r="I2" s="5" t="n">
        <v>80</v>
      </c>
      <c r="J2" s="5">
        <f>G2+H2-I2</f>
        <v/>
      </c>
      <c r="K2" s="5" t="n">
        <v>20</v>
      </c>
      <c r="L2" s="5">
        <f>IF(J2&lt;=K2,"Low Stock","OK")</f>
        <v/>
      </c>
      <c r="M2" s="6">
        <f>J2*F2</f>
        <v/>
      </c>
      <c r="N2" s="4" t="n">
        <v>45682</v>
      </c>
    </row>
    <row r="3">
      <c r="A3" s="3" t="inlineStr">
        <is>
          <t>CH002</t>
        </is>
      </c>
      <c r="B3" s="3" t="inlineStr">
        <is>
          <t>Glass Cleaner</t>
        </is>
      </c>
      <c r="C3" s="3" t="inlineStr">
        <is>
          <t>Colin</t>
        </is>
      </c>
      <c r="D3" s="3" t="inlineStr">
        <is>
          <t>Cleaning Agents</t>
        </is>
      </c>
      <c r="E3" s="3" t="inlineStr">
        <is>
          <t>Liters</t>
        </is>
      </c>
      <c r="F3" s="9" t="n">
        <v>95</v>
      </c>
      <c r="G3" s="3" t="n">
        <v>30</v>
      </c>
      <c r="H3" s="3" t="n">
        <v>50</v>
      </c>
      <c r="I3" s="3" t="n">
        <v>45</v>
      </c>
      <c r="J3" s="3">
        <f>G3+H3-I3</f>
        <v/>
      </c>
      <c r="K3" s="3" t="n">
        <v>15</v>
      </c>
      <c r="L3" s="3">
        <f>IF(J3&lt;=K3,"Low Stock","OK")</f>
        <v/>
      </c>
      <c r="M3" s="9">
        <f>J3*F3</f>
        <v/>
      </c>
      <c r="N3" s="8" t="n">
        <v>45682</v>
      </c>
    </row>
    <row r="4">
      <c r="A4" s="5" t="inlineStr">
        <is>
          <t>CH003</t>
        </is>
      </c>
      <c r="B4" s="5" t="inlineStr">
        <is>
          <t>Toilet Cleaner</t>
        </is>
      </c>
      <c r="C4" s="5" t="inlineStr">
        <is>
          <t>Harpic</t>
        </is>
      </c>
      <c r="D4" s="5" t="inlineStr">
        <is>
          <t>Cleaning Agents</t>
        </is>
      </c>
      <c r="E4" s="5" t="inlineStr">
        <is>
          <t>Liters</t>
        </is>
      </c>
      <c r="F4" s="6" t="n">
        <v>110</v>
      </c>
      <c r="G4" s="5" t="n">
        <v>40</v>
      </c>
      <c r="H4" s="5" t="n">
        <v>80</v>
      </c>
      <c r="I4" s="5" t="n">
        <v>70</v>
      </c>
      <c r="J4" s="5">
        <f>G4+H4-I4</f>
        <v/>
      </c>
      <c r="K4" s="5" t="n">
        <v>20</v>
      </c>
      <c r="L4" s="5">
        <f>IF(J4&lt;=K4,"Low Stock","OK")</f>
        <v/>
      </c>
      <c r="M4" s="6">
        <f>J4*F4</f>
        <v/>
      </c>
      <c r="N4" s="4" t="n">
        <v>45682</v>
      </c>
    </row>
    <row r="5">
      <c r="A5" s="3" t="inlineStr">
        <is>
          <t>CH004</t>
        </is>
      </c>
      <c r="B5" s="3" t="inlineStr">
        <is>
          <t>Pesticide Spray</t>
        </is>
      </c>
      <c r="C5" s="3" t="inlineStr">
        <is>
          <t>Baygon Pro</t>
        </is>
      </c>
      <c r="D5" s="3" t="inlineStr">
        <is>
          <t>Pest Control</t>
        </is>
      </c>
      <c r="E5" s="3" t="inlineStr">
        <is>
          <t>Cans</t>
        </is>
      </c>
      <c r="F5" s="9" t="n">
        <v>350</v>
      </c>
      <c r="G5" s="3" t="n">
        <v>25</v>
      </c>
      <c r="H5" s="3" t="n">
        <v>50</v>
      </c>
      <c r="I5" s="3" t="n">
        <v>40</v>
      </c>
      <c r="J5" s="3">
        <f>G5+H5-I5</f>
        <v/>
      </c>
      <c r="K5" s="3" t="n">
        <v>10</v>
      </c>
      <c r="L5" s="3">
        <f>IF(J5&lt;=K5,"Low Stock","OK")</f>
        <v/>
      </c>
      <c r="M5" s="9">
        <f>J5*F5</f>
        <v/>
      </c>
      <c r="N5" s="8" t="n">
        <v>45682</v>
      </c>
    </row>
    <row r="6">
      <c r="A6" s="5" t="inlineStr">
        <is>
          <t>CH005</t>
        </is>
      </c>
      <c r="B6" s="5" t="inlineStr">
        <is>
          <t>Surface Disinfectant</t>
        </is>
      </c>
      <c r="C6" s="5" t="inlineStr">
        <is>
          <t>Lysol</t>
        </is>
      </c>
      <c r="D6" s="5" t="inlineStr">
        <is>
          <t>Sanitizers</t>
        </is>
      </c>
      <c r="E6" s="5" t="inlineStr">
        <is>
          <t>Liters</t>
        </is>
      </c>
      <c r="F6" s="6" t="n">
        <v>180</v>
      </c>
      <c r="G6" s="5" t="n">
        <v>25</v>
      </c>
      <c r="H6" s="5" t="n">
        <v>50</v>
      </c>
      <c r="I6" s="5" t="n">
        <v>40</v>
      </c>
      <c r="J6" s="5">
        <f>G6+H6-I6</f>
        <v/>
      </c>
      <c r="K6" s="5" t="n">
        <v>15</v>
      </c>
      <c r="L6" s="5">
        <f>IF(J6&lt;=K6,"Low Stock","OK")</f>
        <v/>
      </c>
      <c r="M6" s="6">
        <f>J6*F6</f>
        <v/>
      </c>
      <c r="N6" s="4" t="n">
        <v>45682</v>
      </c>
    </row>
  </sheetData>
  <autoFilter ref="A1:N6"/>
  <conditionalFormatting sqref="L2:L1000">
    <cfRule type="expression" priority="1" dxfId="0">
      <formula>L2="Low Stock"</formula>
    </cfRule>
    <cfRule type="expression" priority="2" dxfId="1">
      <formula>L2="OK"</formula>
    </cfRule>
  </conditionalFormatting>
  <dataValidations count="2">
    <dataValidation sqref="D2:D1000" showDropDown="0" showInputMessage="0" showErrorMessage="0" allowBlank="1" type="list">
      <formula1>"Cleaning Agents,Pest Control,Sanitizers,Specialty"</formula1>
    </dataValidation>
    <dataValidation sqref="E2:E1000" showDropDown="0" showInputMessage="0" showErrorMessage="0" allowBlank="1" type="list">
      <formula1>"Liters,KG,Bottles,Cans"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Item ID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Unit Rate (₹)</t>
        </is>
      </c>
      <c r="F1" s="2" t="inlineStr">
        <is>
          <t>Opening Stock</t>
        </is>
      </c>
      <c r="G1" s="2" t="inlineStr">
        <is>
          <t>Stock Added</t>
        </is>
      </c>
      <c r="H1" s="2" t="inlineStr">
        <is>
          <t>Stock Used</t>
        </is>
      </c>
      <c r="I1" s="2" t="inlineStr">
        <is>
          <t>Closing Stock</t>
        </is>
      </c>
      <c r="J1" s="2" t="inlineStr">
        <is>
          <t>Min Level</t>
        </is>
      </c>
      <c r="K1" s="2" t="inlineStr">
        <is>
          <t>Status</t>
        </is>
      </c>
      <c r="L1" s="2" t="inlineStr">
        <is>
          <t>Est. Value (₹)</t>
        </is>
      </c>
      <c r="M1" s="2" t="inlineStr">
        <is>
          <t>Last Updated</t>
        </is>
      </c>
    </row>
    <row r="2">
      <c r="A2" s="5" t="inlineStr">
        <is>
          <t>AC001</t>
        </is>
      </c>
      <c r="B2" s="5" t="inlineStr">
        <is>
          <t>Rubber Hose (10m)</t>
        </is>
      </c>
      <c r="C2" s="5" t="inlineStr">
        <is>
          <t>Pipes &amp; Hoses</t>
        </is>
      </c>
      <c r="D2" s="5" t="inlineStr">
        <is>
          <t>Pieces</t>
        </is>
      </c>
      <c r="E2" s="6" t="n">
        <v>450</v>
      </c>
      <c r="F2" s="5" t="n">
        <v>10</v>
      </c>
      <c r="G2" s="5" t="n">
        <v>15</v>
      </c>
      <c r="H2" s="5" t="n">
        <v>12</v>
      </c>
      <c r="I2" s="5">
        <f>F2+G2-H2</f>
        <v/>
      </c>
      <c r="J2" s="5" t="n">
        <v>5</v>
      </c>
      <c r="K2" s="5">
        <f>IF(I2&lt;=J2,"Low Stock","OK")</f>
        <v/>
      </c>
      <c r="L2" s="6">
        <f>I2*E2</f>
        <v/>
      </c>
      <c r="M2" s="4" t="n">
        <v>45682</v>
      </c>
    </row>
    <row r="3">
      <c r="A3" s="3" t="inlineStr">
        <is>
          <t>AC002</t>
        </is>
      </c>
      <c r="B3" s="3" t="inlineStr">
        <is>
          <t>Floor Mop</t>
        </is>
      </c>
      <c r="C3" s="3" t="inlineStr">
        <is>
          <t>Brushes &amp; Mops</t>
        </is>
      </c>
      <c r="D3" s="3" t="inlineStr">
        <is>
          <t>Pieces</t>
        </is>
      </c>
      <c r="E3" s="9" t="n">
        <v>250</v>
      </c>
      <c r="F3" s="3" t="n">
        <v>20</v>
      </c>
      <c r="G3" s="3" t="n">
        <v>30</v>
      </c>
      <c r="H3" s="3" t="n">
        <v>25</v>
      </c>
      <c r="I3" s="3">
        <f>F3+G3-H3</f>
        <v/>
      </c>
      <c r="J3" s="3" t="n">
        <v>10</v>
      </c>
      <c r="K3" s="3">
        <f>IF(I3&lt;=J3,"Low Stock","OK")</f>
        <v/>
      </c>
      <c r="L3" s="9">
        <f>I3*E3</f>
        <v/>
      </c>
      <c r="M3" s="8" t="n">
        <v>45682</v>
      </c>
    </row>
    <row r="4">
      <c r="A4" s="5" t="inlineStr">
        <is>
          <t>AC003</t>
        </is>
      </c>
      <c r="B4" s="5" t="inlineStr">
        <is>
          <t>Microfiber Cloth</t>
        </is>
      </c>
      <c r="C4" s="5" t="inlineStr">
        <is>
          <t>Cloths &amp; Wipes</t>
        </is>
      </c>
      <c r="D4" s="5" t="inlineStr">
        <is>
          <t>Pieces</t>
        </is>
      </c>
      <c r="E4" s="6" t="n">
        <v>80</v>
      </c>
      <c r="F4" s="5" t="n">
        <v>50</v>
      </c>
      <c r="G4" s="5" t="n">
        <v>100</v>
      </c>
      <c r="H4" s="5" t="n">
        <v>80</v>
      </c>
      <c r="I4" s="5">
        <f>F4+G4-H4</f>
        <v/>
      </c>
      <c r="J4" s="5" t="n">
        <v>25</v>
      </c>
      <c r="K4" s="5">
        <f>IF(I4&lt;=J4,"Low Stock","OK")</f>
        <v/>
      </c>
      <c r="L4" s="6">
        <f>I4*E4</f>
        <v/>
      </c>
      <c r="M4" s="4" t="n">
        <v>45682</v>
      </c>
    </row>
    <row r="5">
      <c r="A5" s="3" t="inlineStr">
        <is>
          <t>AC004</t>
        </is>
      </c>
      <c r="B5" s="3" t="inlineStr">
        <is>
          <t>Rubber Gloves</t>
        </is>
      </c>
      <c r="C5" s="3" t="inlineStr">
        <is>
          <t>Gloves &amp; Safety</t>
        </is>
      </c>
      <c r="D5" s="3" t="inlineStr">
        <is>
          <t>Pairs</t>
        </is>
      </c>
      <c r="E5" s="9" t="n">
        <v>45</v>
      </c>
      <c r="F5" s="3" t="n">
        <v>30</v>
      </c>
      <c r="G5" s="3" t="n">
        <v>50</v>
      </c>
      <c r="H5" s="3" t="n">
        <v>40</v>
      </c>
      <c r="I5" s="3">
        <f>F5+G5-H5</f>
        <v/>
      </c>
      <c r="J5" s="3" t="n">
        <v>15</v>
      </c>
      <c r="K5" s="3">
        <f>IF(I5&lt;=J5,"Low Stock","OK")</f>
        <v/>
      </c>
      <c r="L5" s="9">
        <f>I5*E5</f>
        <v/>
      </c>
      <c r="M5" s="8" t="n">
        <v>45682</v>
      </c>
    </row>
    <row r="6">
      <c r="A6" s="5" t="inlineStr">
        <is>
          <t>AC005</t>
        </is>
      </c>
      <c r="B6" s="5" t="inlineStr">
        <is>
          <t>Spray Bottles</t>
        </is>
      </c>
      <c r="C6" s="5" t="inlineStr">
        <is>
          <t>Other</t>
        </is>
      </c>
      <c r="D6" s="5" t="inlineStr">
        <is>
          <t>Pieces</t>
        </is>
      </c>
      <c r="E6" s="6" t="n">
        <v>120</v>
      </c>
      <c r="F6" s="5" t="n">
        <v>20</v>
      </c>
      <c r="G6" s="5" t="n">
        <v>30</v>
      </c>
      <c r="H6" s="5" t="n">
        <v>22</v>
      </c>
      <c r="I6" s="5">
        <f>F6+G6-H6</f>
        <v/>
      </c>
      <c r="J6" s="5" t="n">
        <v>10</v>
      </c>
      <c r="K6" s="5">
        <f>IF(I6&lt;=J6,"Low Stock","OK")</f>
        <v/>
      </c>
      <c r="L6" s="6">
        <f>I6*E6</f>
        <v/>
      </c>
      <c r="M6" s="4" t="n">
        <v>45682</v>
      </c>
    </row>
  </sheetData>
  <autoFilter ref="A1:M6"/>
  <conditionalFormatting sqref="K2:K1000">
    <cfRule type="expression" priority="1" dxfId="0">
      <formula>K2="Low Stock"</formula>
    </cfRule>
    <cfRule type="expression" priority="2" dxfId="1">
      <formula>K2="OK"</formula>
    </cfRule>
  </conditionalFormatting>
  <dataValidations count="1">
    <dataValidation sqref="C2:C1000" showDropDown="0" showInputMessage="0" showErrorMessage="0" allowBlank="1" type="list">
      <formula1>"Pipes &amp; Hoses,Brushes &amp; Mops,Cloths &amp; Wipes,Gloves &amp; Safety,Tools,Other"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Date</t>
        </is>
      </c>
      <c r="B1" s="2" t="inlineStr">
        <is>
          <t>Transaction ID</t>
        </is>
      </c>
      <c r="C1" s="2" t="inlineStr">
        <is>
          <t>Item Type</t>
        </is>
      </c>
      <c r="D1" s="2" t="inlineStr">
        <is>
          <t>Item ID</t>
        </is>
      </c>
      <c r="E1" s="2" t="inlineStr">
        <is>
          <t>Item Name</t>
        </is>
      </c>
      <c r="F1" s="2" t="inlineStr">
        <is>
          <t>Transaction Type</t>
        </is>
      </c>
      <c r="G1" s="2" t="inlineStr">
        <is>
          <t>Quantity</t>
        </is>
      </c>
      <c r="H1" s="2" t="inlineStr">
        <is>
          <t>Unit Rate (₹)</t>
        </is>
      </c>
      <c r="I1" s="2" t="inlineStr">
        <is>
          <t>Base Amount (₹)</t>
        </is>
      </c>
      <c r="J1" s="2" t="inlineStr">
        <is>
          <t>GST %</t>
        </is>
      </c>
      <c r="K1" s="2" t="inlineStr">
        <is>
          <t>GST Amount (₹)</t>
        </is>
      </c>
      <c r="L1" s="2" t="inlineStr">
        <is>
          <t>Total Cost (₹)</t>
        </is>
      </c>
      <c r="M1" s="2" t="inlineStr">
        <is>
          <t>Project/Team</t>
        </is>
      </c>
      <c r="N1" s="2" t="inlineStr">
        <is>
          <t>Notes</t>
        </is>
      </c>
    </row>
    <row r="2">
      <c r="A2" s="4" t="n">
        <v>45659</v>
      </c>
      <c r="B2" s="5" t="inlineStr">
        <is>
          <t>TXN001</t>
        </is>
      </c>
      <c r="C2" s="5" t="inlineStr">
        <is>
          <t>Chemical</t>
        </is>
      </c>
      <c r="D2" s="5" t="inlineStr">
        <is>
          <t>CH001</t>
        </is>
      </c>
      <c r="E2" s="5" t="inlineStr">
        <is>
          <t>Floor Cleaner</t>
        </is>
      </c>
      <c r="F2" s="5" t="inlineStr">
        <is>
          <t>Purchase</t>
        </is>
      </c>
      <c r="G2" s="5" t="n">
        <v>50</v>
      </c>
      <c r="H2" s="6" t="n">
        <v>120</v>
      </c>
      <c r="I2" s="6">
        <f>G2*H2</f>
        <v/>
      </c>
      <c r="J2" s="7" t="n">
        <v>0.18</v>
      </c>
      <c r="K2" s="6">
        <f>I2*J2</f>
        <v/>
      </c>
      <c r="L2" s="6">
        <f>I2+K2</f>
        <v/>
      </c>
      <c r="M2" s="5" t="inlineStr">
        <is>
          <t>Warehouse</t>
        </is>
      </c>
      <c r="N2" s="5" t="n"/>
    </row>
    <row r="3">
      <c r="A3" s="8" t="n">
        <v>45662</v>
      </c>
      <c r="B3" s="3" t="inlineStr">
        <is>
          <t>TXN002</t>
        </is>
      </c>
      <c r="C3" s="3" t="inlineStr">
        <is>
          <t>Accessory</t>
        </is>
      </c>
      <c r="D3" s="3" t="inlineStr">
        <is>
          <t>AC003</t>
        </is>
      </c>
      <c r="E3" s="3" t="inlineStr">
        <is>
          <t>Microfiber Cloth</t>
        </is>
      </c>
      <c r="F3" s="3" t="inlineStr">
        <is>
          <t>Purchase</t>
        </is>
      </c>
      <c r="G3" s="3" t="n">
        <v>50</v>
      </c>
      <c r="H3" s="9" t="n">
        <v>80</v>
      </c>
      <c r="I3" s="9">
        <f>G3*H3</f>
        <v/>
      </c>
      <c r="J3" s="10" t="n">
        <v>0.18</v>
      </c>
      <c r="K3" s="9">
        <f>I3*J3</f>
        <v/>
      </c>
      <c r="L3" s="9">
        <f>I3+K3</f>
        <v/>
      </c>
      <c r="M3" s="3" t="inlineStr">
        <is>
          <t>Warehouse</t>
        </is>
      </c>
      <c r="N3" s="3" t="n"/>
    </row>
    <row r="4">
      <c r="A4" s="4" t="n">
        <v>45663</v>
      </c>
      <c r="B4" s="5" t="inlineStr">
        <is>
          <t>TXN003</t>
        </is>
      </c>
      <c r="C4" s="5" t="inlineStr">
        <is>
          <t>Chemical</t>
        </is>
      </c>
      <c r="D4" s="5" t="inlineStr">
        <is>
          <t>CH001</t>
        </is>
      </c>
      <c r="E4" s="5" t="inlineStr">
        <is>
          <t>Floor Cleaner</t>
        </is>
      </c>
      <c r="F4" s="5" t="inlineStr">
        <is>
          <t>Used</t>
        </is>
      </c>
      <c r="G4" s="5" t="n">
        <v>20</v>
      </c>
      <c r="H4" s="6" t="n">
        <v>0</v>
      </c>
      <c r="I4" s="6">
        <f>G4*H4</f>
        <v/>
      </c>
      <c r="J4" s="7" t="n">
        <v>0</v>
      </c>
      <c r="K4" s="6">
        <f>I4*J4</f>
        <v/>
      </c>
      <c r="L4" s="6">
        <f>I4+K4</f>
        <v/>
      </c>
      <c r="M4" s="5" t="inlineStr">
        <is>
          <t>Team A</t>
        </is>
      </c>
      <c r="N4" s="5" t="n"/>
    </row>
    <row r="5">
      <c r="A5" s="8" t="n">
        <v>45665</v>
      </c>
      <c r="B5" s="3" t="inlineStr">
        <is>
          <t>TXN004</t>
        </is>
      </c>
      <c r="C5" s="3" t="inlineStr">
        <is>
          <t>Accessory</t>
        </is>
      </c>
      <c r="D5" s="3" t="inlineStr">
        <is>
          <t>AC004</t>
        </is>
      </c>
      <c r="E5" s="3" t="inlineStr">
        <is>
          <t>Rubber Gloves</t>
        </is>
      </c>
      <c r="F5" s="3" t="inlineStr">
        <is>
          <t>Used</t>
        </is>
      </c>
      <c r="G5" s="3" t="n">
        <v>10</v>
      </c>
      <c r="H5" s="9" t="n">
        <v>0</v>
      </c>
      <c r="I5" s="9">
        <f>G5*H5</f>
        <v/>
      </c>
      <c r="J5" s="10" t="n">
        <v>0</v>
      </c>
      <c r="K5" s="9">
        <f>I5*J5</f>
        <v/>
      </c>
      <c r="L5" s="9">
        <f>I5+K5</f>
        <v/>
      </c>
      <c r="M5" s="3" t="inlineStr">
        <is>
          <t>Team B</t>
        </is>
      </c>
      <c r="N5" s="3" t="n"/>
    </row>
    <row r="6">
      <c r="A6" s="4" t="n">
        <v>45667</v>
      </c>
      <c r="B6" s="5" t="inlineStr">
        <is>
          <t>TXN005</t>
        </is>
      </c>
      <c r="C6" s="5" t="inlineStr">
        <is>
          <t>Chemical</t>
        </is>
      </c>
      <c r="D6" s="5" t="inlineStr">
        <is>
          <t>CH002</t>
        </is>
      </c>
      <c r="E6" s="5" t="inlineStr">
        <is>
          <t>Glass Cleaner</t>
        </is>
      </c>
      <c r="F6" s="5" t="inlineStr">
        <is>
          <t>Purchase</t>
        </is>
      </c>
      <c r="G6" s="5" t="n">
        <v>25</v>
      </c>
      <c r="H6" s="6" t="n">
        <v>95</v>
      </c>
      <c r="I6" s="6">
        <f>G6*H6</f>
        <v/>
      </c>
      <c r="J6" s="7" t="n">
        <v>0.18</v>
      </c>
      <c r="K6" s="6">
        <f>I6*J6</f>
        <v/>
      </c>
      <c r="L6" s="6">
        <f>I6+K6</f>
        <v/>
      </c>
      <c r="M6" s="5" t="inlineStr">
        <is>
          <t>Warehouse</t>
        </is>
      </c>
      <c r="N6" s="5" t="n"/>
    </row>
  </sheetData>
  <autoFilter ref="A1:N6"/>
  <dataValidations count="3">
    <dataValidation sqref="C2:C1000" showDropDown="0" showInputMessage="0" showErrorMessage="0" allowBlank="1" type="list">
      <formula1>"Chemical,Accessory,Machine,Spare Part"</formula1>
    </dataValidation>
    <dataValidation sqref="F2:F1000" showDropDown="0" showInputMessage="0" showErrorMessage="0" allowBlank="1" type="list">
      <formula1>"Purchase,Used,Returned,Damaged"</formula1>
    </dataValidation>
    <dataValidation sqref="J2:J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Invoice Date</t>
        </is>
      </c>
      <c r="B1" s="2" t="inlineStr">
        <is>
          <t>Invoice Number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Base Amount (₹)</t>
        </is>
      </c>
      <c r="F1" s="2" t="inlineStr">
        <is>
          <t>GST %</t>
        </is>
      </c>
      <c r="G1" s="2" t="inlineStr">
        <is>
          <t>GST Amount (₹)</t>
        </is>
      </c>
      <c r="H1" s="2" t="inlineStr">
        <is>
          <t>Total Amount (₹)</t>
        </is>
      </c>
      <c r="I1" s="2" t="inlineStr">
        <is>
          <t>GST Payment Status</t>
        </is>
      </c>
      <c r="J1" s="2" t="inlineStr">
        <is>
          <t>Payment Date</t>
        </is>
      </c>
      <c r="K1" s="2" t="inlineStr">
        <is>
          <t>Notes</t>
        </is>
      </c>
    </row>
    <row r="2">
      <c r="A2" s="4" t="n">
        <v>45668</v>
      </c>
      <c r="B2" s="5" t="inlineStr">
        <is>
          <t>GST-INV-2025-1001</t>
        </is>
      </c>
      <c r="C2" s="5" t="inlineStr">
        <is>
          <t>Rahul Verma</t>
        </is>
      </c>
      <c r="D2" s="5" t="inlineStr">
        <is>
          <t>Painting</t>
        </is>
      </c>
      <c r="E2" s="6" t="n">
        <v>13199</v>
      </c>
      <c r="F2" s="7" t="n">
        <v>0.18</v>
      </c>
      <c r="G2" s="6">
        <f>E2*F2</f>
        <v/>
      </c>
      <c r="H2" s="6">
        <f>E2+G2</f>
        <v/>
      </c>
      <c r="I2" s="5" t="inlineStr">
        <is>
          <t>Pending</t>
        </is>
      </c>
      <c r="J2" s="4" t="n"/>
      <c r="K2" s="5" t="n"/>
    </row>
    <row r="3">
      <c r="A3" s="8" t="n">
        <v>45671</v>
      </c>
      <c r="B3" s="3" t="inlineStr">
        <is>
          <t>GST-INV-2025-1002</t>
        </is>
      </c>
      <c r="C3" s="3" t="inlineStr">
        <is>
          <t>Arun Krishnan</t>
        </is>
      </c>
      <c r="D3" s="3" t="inlineStr">
        <is>
          <t>Deep Cleaning</t>
        </is>
      </c>
      <c r="E3" s="9" t="n">
        <v>22126</v>
      </c>
      <c r="F3" s="10" t="n">
        <v>0.18</v>
      </c>
      <c r="G3" s="9">
        <f>E3*F3</f>
        <v/>
      </c>
      <c r="H3" s="9">
        <f>E3+G3</f>
        <v/>
      </c>
      <c r="I3" s="3" t="inlineStr">
        <is>
          <t>Paid</t>
        </is>
      </c>
      <c r="J3" s="8" t="n">
        <v>45680</v>
      </c>
      <c r="K3" s="3" t="n"/>
    </row>
    <row r="4">
      <c r="A4" s="4" t="n">
        <v>45682</v>
      </c>
      <c r="B4" s="5" t="inlineStr">
        <is>
          <t>GST-INV-2025-1003</t>
        </is>
      </c>
      <c r="C4" s="5" t="inlineStr">
        <is>
          <t>Manoj Das</t>
        </is>
      </c>
      <c r="D4" s="5" t="inlineStr">
        <is>
          <t>Pest Control</t>
        </is>
      </c>
      <c r="E4" s="6" t="n">
        <v>45225</v>
      </c>
      <c r="F4" s="7" t="n">
        <v>0.18</v>
      </c>
      <c r="G4" s="6">
        <f>E4*F4</f>
        <v/>
      </c>
      <c r="H4" s="6">
        <f>E4+G4</f>
        <v/>
      </c>
      <c r="I4" s="5" t="inlineStr">
        <is>
          <t>Pending</t>
        </is>
      </c>
      <c r="J4" s="4" t="n"/>
      <c r="K4" s="5" t="n"/>
    </row>
    <row r="5">
      <c r="A5" s="8" t="n">
        <v>45671</v>
      </c>
      <c r="B5" s="3" t="inlineStr">
        <is>
          <t>GST-INV-2025-1004</t>
        </is>
      </c>
      <c r="C5" s="3" t="inlineStr">
        <is>
          <t>Lakshmi Pillai</t>
        </is>
      </c>
      <c r="D5" s="3" t="inlineStr">
        <is>
          <t>Plumbing</t>
        </is>
      </c>
      <c r="E5" s="9" t="n">
        <v>48741</v>
      </c>
      <c r="F5" s="10" t="n">
        <v>0.18</v>
      </c>
      <c r="G5" s="9">
        <f>E5*F5</f>
        <v/>
      </c>
      <c r="H5" s="9">
        <f>E5+G5</f>
        <v/>
      </c>
      <c r="I5" s="3" t="inlineStr">
        <is>
          <t>Pending</t>
        </is>
      </c>
      <c r="J5" s="8" t="n"/>
      <c r="K5" s="3" t="n"/>
    </row>
    <row r="6">
      <c r="A6" s="4" t="n">
        <v>45667</v>
      </c>
      <c r="B6" s="5" t="inlineStr">
        <is>
          <t>GST-INV-2025-1005</t>
        </is>
      </c>
      <c r="C6" s="5" t="inlineStr">
        <is>
          <t>Sunita Reddy</t>
        </is>
      </c>
      <c r="D6" s="5" t="inlineStr">
        <is>
          <t>Pest Control</t>
        </is>
      </c>
      <c r="E6" s="6" t="n">
        <v>32265</v>
      </c>
      <c r="F6" s="7" t="n">
        <v>0.18</v>
      </c>
      <c r="G6" s="6">
        <f>E6*F6</f>
        <v/>
      </c>
      <c r="H6" s="6">
        <f>E6+G6</f>
        <v/>
      </c>
      <c r="I6" s="5" t="inlineStr">
        <is>
          <t>Paid</t>
        </is>
      </c>
      <c r="J6" s="4" t="n">
        <v>45681</v>
      </c>
      <c r="K6" s="5" t="n"/>
    </row>
    <row r="7">
      <c r="A7" s="8" t="n">
        <v>45677</v>
      </c>
      <c r="B7" s="3" t="inlineStr">
        <is>
          <t>GST-INV-2025-1006</t>
        </is>
      </c>
      <c r="C7" s="3" t="inlineStr">
        <is>
          <t>Rajesh Kumar</t>
        </is>
      </c>
      <c r="D7" s="3" t="inlineStr">
        <is>
          <t>AC Service</t>
        </is>
      </c>
      <c r="E7" s="9" t="n">
        <v>15002</v>
      </c>
      <c r="F7" s="10" t="n">
        <v>0.18</v>
      </c>
      <c r="G7" s="9">
        <f>E7*F7</f>
        <v/>
      </c>
      <c r="H7" s="9">
        <f>E7+G7</f>
        <v/>
      </c>
      <c r="I7" s="3" t="inlineStr">
        <is>
          <t>Paid</t>
        </is>
      </c>
      <c r="J7" s="8" t="n">
        <v>45684</v>
      </c>
      <c r="K7" s="3" t="n"/>
    </row>
    <row r="8">
      <c r="A8" s="4" t="n">
        <v>45673</v>
      </c>
      <c r="B8" s="5" t="inlineStr">
        <is>
          <t>GST-INV-2025-1007</t>
        </is>
      </c>
      <c r="C8" s="5" t="inlineStr">
        <is>
          <t>Arun Krishnan</t>
        </is>
      </c>
      <c r="D8" s="5" t="inlineStr">
        <is>
          <t>Plumbing</t>
        </is>
      </c>
      <c r="E8" s="6" t="n">
        <v>26315</v>
      </c>
      <c r="F8" s="7" t="n">
        <v>0.18</v>
      </c>
      <c r="G8" s="6">
        <f>E8*F8</f>
        <v/>
      </c>
      <c r="H8" s="6">
        <f>E8+G8</f>
        <v/>
      </c>
      <c r="I8" s="5" t="inlineStr">
        <is>
          <t>Paid</t>
        </is>
      </c>
      <c r="J8" s="4" t="n">
        <v>45680</v>
      </c>
      <c r="K8" s="5" t="n"/>
    </row>
    <row r="9">
      <c r="A9" s="8" t="n">
        <v>45672</v>
      </c>
      <c r="B9" s="3" t="inlineStr">
        <is>
          <t>GST-INV-2025-1008</t>
        </is>
      </c>
      <c r="C9" s="3" t="inlineStr">
        <is>
          <t>Anjali Menon</t>
        </is>
      </c>
      <c r="D9" s="3" t="inlineStr">
        <is>
          <t>Plumbing</t>
        </is>
      </c>
      <c r="E9" s="9" t="n">
        <v>16454</v>
      </c>
      <c r="F9" s="10" t="n">
        <v>0.18</v>
      </c>
      <c r="G9" s="9">
        <f>E9*F9</f>
        <v/>
      </c>
      <c r="H9" s="9">
        <f>E9+G9</f>
        <v/>
      </c>
      <c r="I9" s="3" t="inlineStr">
        <is>
          <t>Paid</t>
        </is>
      </c>
      <c r="J9" s="8" t="n">
        <v>45678</v>
      </c>
      <c r="K9" s="3" t="n"/>
    </row>
    <row r="10">
      <c r="A10" s="4" t="n">
        <v>45663</v>
      </c>
      <c r="B10" s="5" t="inlineStr">
        <is>
          <t>GST-INV-2025-1009</t>
        </is>
      </c>
      <c r="C10" s="5" t="inlineStr">
        <is>
          <t>Kavitha Srinivasan</t>
        </is>
      </c>
      <c r="D10" s="5" t="inlineStr">
        <is>
          <t>Pest Control</t>
        </is>
      </c>
      <c r="E10" s="6" t="n">
        <v>22824</v>
      </c>
      <c r="F10" s="7" t="n">
        <v>0.18</v>
      </c>
      <c r="G10" s="6">
        <f>E10*F10</f>
        <v/>
      </c>
      <c r="H10" s="6">
        <f>E10+G10</f>
        <v/>
      </c>
      <c r="I10" s="5" t="inlineStr">
        <is>
          <t>Paid</t>
        </is>
      </c>
      <c r="J10" s="4" t="n">
        <v>45674</v>
      </c>
      <c r="K10" s="5" t="n"/>
    </row>
    <row r="11">
      <c r="A11" s="8" t="n">
        <v>45674</v>
      </c>
      <c r="B11" s="3" t="inlineStr">
        <is>
          <t>GST-INV-2025-1010</t>
        </is>
      </c>
      <c r="C11" s="3" t="inlineStr">
        <is>
          <t>Kavitha Srinivasan</t>
        </is>
      </c>
      <c r="D11" s="3" t="inlineStr">
        <is>
          <t>Painting</t>
        </is>
      </c>
      <c r="E11" s="9" t="n">
        <v>32668</v>
      </c>
      <c r="F11" s="10" t="n">
        <v>0.18</v>
      </c>
      <c r="G11" s="9">
        <f>E11*F11</f>
        <v/>
      </c>
      <c r="H11" s="9">
        <f>E11+G11</f>
        <v/>
      </c>
      <c r="I11" s="3" t="inlineStr">
        <is>
          <t>Paid</t>
        </is>
      </c>
      <c r="J11" s="8" t="n">
        <v>45684</v>
      </c>
      <c r="K11" s="3" t="n"/>
    </row>
  </sheetData>
  <autoFilter ref="A1:K11"/>
  <dataValidations count="3">
    <dataValidation sqref="I2:I1000" showDropDown="0" showInputMessage="0" showErrorMessage="0" allowBlank="1" type="list">
      <formula1>"Paid,Pending"</formula1>
    </dataValidation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F2:F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3" t="inlineStr">
        <is>
          <t>INCOME SUMMARY REPORT</t>
        </is>
      </c>
    </row>
    <row r="3">
      <c r="A3" s="14" t="inlineStr">
        <is>
          <t>SERVICE-WISE REVENUE</t>
        </is>
      </c>
    </row>
    <row r="4">
      <c r="A4" s="2" t="inlineStr">
        <is>
          <t>Service Type</t>
        </is>
      </c>
      <c r="B4" s="2" t="inlineStr">
        <is>
          <t>Base Revenue (₹)</t>
        </is>
      </c>
      <c r="C4" s="2" t="inlineStr">
        <is>
          <t>Discount (₹)</t>
        </is>
      </c>
      <c r="D4" s="2" t="inlineStr">
        <is>
          <t>GST Collected (₹)</t>
        </is>
      </c>
      <c r="E4" s="2" t="inlineStr">
        <is>
          <t>Total Revenue (₹)</t>
        </is>
      </c>
      <c r="F4" s="2" t="inlineStr">
        <is>
          <t>Orders</t>
        </is>
      </c>
    </row>
    <row r="5">
      <c r="A5" s="3" t="inlineStr">
        <is>
          <t>Deep Cleaning</t>
        </is>
      </c>
      <c r="B5" s="9">
        <f>SUMIF('Income Tracker'!D:D,A5,'Income Tracker'!G:G)</f>
        <v/>
      </c>
      <c r="C5" s="9">
        <f>SUMIF('Income Tracker'!D:D,A5,'Income Tracker'!I:I)</f>
        <v/>
      </c>
      <c r="D5" s="9">
        <f>SUMIF('Income Tracker'!D:D,A5,'Income Tracker'!L:L)</f>
        <v/>
      </c>
      <c r="E5" s="9">
        <f>SUMIF('Income Tracker'!D:D,A5,'Income Tracker'!M:M)</f>
        <v/>
      </c>
      <c r="F5" s="3">
        <f>COUNTIF('Income Tracker'!D:D,A5)</f>
        <v/>
      </c>
    </row>
    <row r="6">
      <c r="A6" s="5" t="inlineStr">
        <is>
          <t>Regular Cleaning</t>
        </is>
      </c>
      <c r="B6" s="6">
        <f>SUMIF('Income Tracker'!D:D,A6,'Income Tracker'!G:G)</f>
        <v/>
      </c>
      <c r="C6" s="6">
        <f>SUMIF('Income Tracker'!D:D,A6,'Income Tracker'!I:I)</f>
        <v/>
      </c>
      <c r="D6" s="6">
        <f>SUMIF('Income Tracker'!D:D,A6,'Income Tracker'!L:L)</f>
        <v/>
      </c>
      <c r="E6" s="6">
        <f>SUMIF('Income Tracker'!D:D,A6,'Income Tracker'!M:M)</f>
        <v/>
      </c>
      <c r="F6" s="5">
        <f>COUNTIF('Income Tracker'!D:D,A6)</f>
        <v/>
      </c>
    </row>
    <row r="7">
      <c r="A7" s="3" t="inlineStr">
        <is>
          <t>Pest Control</t>
        </is>
      </c>
      <c r="B7" s="9">
        <f>SUMIF('Income Tracker'!D:D,A7,'Income Tracker'!G:G)</f>
        <v/>
      </c>
      <c r="C7" s="9">
        <f>SUMIF('Income Tracker'!D:D,A7,'Income Tracker'!I:I)</f>
        <v/>
      </c>
      <c r="D7" s="9">
        <f>SUMIF('Income Tracker'!D:D,A7,'Income Tracker'!L:L)</f>
        <v/>
      </c>
      <c r="E7" s="9">
        <f>SUMIF('Income Tracker'!D:D,A7,'Income Tracker'!M:M)</f>
        <v/>
      </c>
      <c r="F7" s="3">
        <f>COUNTIF('Income Tracker'!D:D,A7)</f>
        <v/>
      </c>
    </row>
    <row r="8">
      <c r="A8" s="5" t="inlineStr">
        <is>
          <t>Painting</t>
        </is>
      </c>
      <c r="B8" s="6">
        <f>SUMIF('Income Tracker'!D:D,A8,'Income Tracker'!G:G)</f>
        <v/>
      </c>
      <c r="C8" s="6">
        <f>SUMIF('Income Tracker'!D:D,A8,'Income Tracker'!I:I)</f>
        <v/>
      </c>
      <c r="D8" s="6">
        <f>SUMIF('Income Tracker'!D:D,A8,'Income Tracker'!L:L)</f>
        <v/>
      </c>
      <c r="E8" s="6">
        <f>SUMIF('Income Tracker'!D:D,A8,'Income Tracker'!M:M)</f>
        <v/>
      </c>
      <c r="F8" s="5">
        <f>COUNTIF('Income Tracker'!D:D,A8)</f>
        <v/>
      </c>
    </row>
    <row r="9">
      <c r="A9" s="3" t="inlineStr">
        <is>
          <t>Plumbing</t>
        </is>
      </c>
      <c r="B9" s="9">
        <f>SUMIF('Income Tracker'!D:D,A9,'Income Tracker'!G:G)</f>
        <v/>
      </c>
      <c r="C9" s="9">
        <f>SUMIF('Income Tracker'!D:D,A9,'Income Tracker'!I:I)</f>
        <v/>
      </c>
      <c r="D9" s="9">
        <f>SUMIF('Income Tracker'!D:D,A9,'Income Tracker'!L:L)</f>
        <v/>
      </c>
      <c r="E9" s="9">
        <f>SUMIF('Income Tracker'!D:D,A9,'Income Tracker'!M:M)</f>
        <v/>
      </c>
      <c r="F9" s="3">
        <f>COUNTIF('Income Tracker'!D:D,A9)</f>
        <v/>
      </c>
    </row>
    <row r="10">
      <c r="A10" s="5" t="inlineStr">
        <is>
          <t>Electrical</t>
        </is>
      </c>
      <c r="B10" s="6">
        <f>SUMIF('Income Tracker'!D:D,A10,'Income Tracker'!G:G)</f>
        <v/>
      </c>
      <c r="C10" s="6">
        <f>SUMIF('Income Tracker'!D:D,A10,'Income Tracker'!I:I)</f>
        <v/>
      </c>
      <c r="D10" s="6">
        <f>SUMIF('Income Tracker'!D:D,A10,'Income Tracker'!L:L)</f>
        <v/>
      </c>
      <c r="E10" s="6">
        <f>SUMIF('Income Tracker'!D:D,A10,'Income Tracker'!M:M)</f>
        <v/>
      </c>
      <c r="F10" s="5">
        <f>COUNTIF('Income Tracker'!D:D,A10)</f>
        <v/>
      </c>
    </row>
    <row r="11">
      <c r="A11" s="3" t="inlineStr">
        <is>
          <t>Carpentry</t>
        </is>
      </c>
      <c r="B11" s="9">
        <f>SUMIF('Income Tracker'!D:D,A11,'Income Tracker'!G:G)</f>
        <v/>
      </c>
      <c r="C11" s="9">
        <f>SUMIF('Income Tracker'!D:D,A11,'Income Tracker'!I:I)</f>
        <v/>
      </c>
      <c r="D11" s="9">
        <f>SUMIF('Income Tracker'!D:D,A11,'Income Tracker'!L:L)</f>
        <v/>
      </c>
      <c r="E11" s="9">
        <f>SUMIF('Income Tracker'!D:D,A11,'Income Tracker'!M:M)</f>
        <v/>
      </c>
      <c r="F11" s="3">
        <f>COUNTIF('Income Tracker'!D:D,A11)</f>
        <v/>
      </c>
    </row>
    <row r="12">
      <c r="A12" s="5" t="inlineStr">
        <is>
          <t>AC Service</t>
        </is>
      </c>
      <c r="B12" s="6">
        <f>SUMIF('Income Tracker'!D:D,A12,'Income Tracker'!G:G)</f>
        <v/>
      </c>
      <c r="C12" s="6">
        <f>SUMIF('Income Tracker'!D:D,A12,'Income Tracker'!I:I)</f>
        <v/>
      </c>
      <c r="D12" s="6">
        <f>SUMIF('Income Tracker'!D:D,A12,'Income Tracker'!L:L)</f>
        <v/>
      </c>
      <c r="E12" s="6">
        <f>SUMIF('Income Tracker'!D:D,A12,'Income Tracker'!M:M)</f>
        <v/>
      </c>
      <c r="F12" s="5">
        <f>COUNTIF('Income Tracker'!D:D,A12)</f>
        <v/>
      </c>
    </row>
    <row r="13">
      <c r="A13" s="15" t="inlineStr">
        <is>
          <t>TOTAL</t>
        </is>
      </c>
      <c r="B13" s="16">
        <f>SUM(B5:B12)</f>
        <v/>
      </c>
      <c r="C13" s="16">
        <f>SUM(C5:C12)</f>
        <v/>
      </c>
      <c r="D13" s="16">
        <f>SUM(D5:D12)</f>
        <v/>
      </c>
      <c r="E13" s="16">
        <f>SUM(E5:E12)</f>
        <v/>
      </c>
      <c r="F13" s="15">
        <f>SUM(F5:F12)</f>
        <v/>
      </c>
    </row>
  </sheetData>
  <autoFilter ref="A4:F13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EXPENSE SUMMARY REPORT</t>
        </is>
      </c>
    </row>
    <row r="3">
      <c r="A3" s="14" t="inlineStr">
        <is>
          <t>CATEGORY-WISE EXPENSES</t>
        </is>
      </c>
    </row>
    <row r="4">
      <c r="A4" s="2" t="inlineStr">
        <is>
          <t>Category</t>
        </is>
      </c>
      <c r="B4" s="2" t="inlineStr">
        <is>
          <t>Base Amount (₹)</t>
        </is>
      </c>
      <c r="C4" s="2" t="inlineStr">
        <is>
          <t>GST Paid (₹)</t>
        </is>
      </c>
      <c r="D4" s="2" t="inlineStr">
        <is>
          <t>Total Amount (₹)</t>
        </is>
      </c>
      <c r="E4" s="2" t="inlineStr">
        <is>
          <t>Count</t>
        </is>
      </c>
    </row>
    <row r="5">
      <c r="A5" s="3" t="inlineStr">
        <is>
          <t>Vendor Payment</t>
        </is>
      </c>
      <c r="B5" s="9">
        <f>SUMIF('Expense Tracker'!C:C,A5,'Expense Tracker'!F:F)</f>
        <v/>
      </c>
      <c r="C5" s="9">
        <f>SUMIF('Expense Tracker'!C:C,A5,'Expense Tracker'!H:H)</f>
        <v/>
      </c>
      <c r="D5" s="9">
        <f>SUMIF('Expense Tracker'!C:C,A5,'Expense Tracker'!I:I)</f>
        <v/>
      </c>
      <c r="E5" s="3">
        <f>COUNTIF('Expense Tracker'!C:C,A5)</f>
        <v/>
      </c>
    </row>
    <row r="6">
      <c r="A6" s="5" t="inlineStr">
        <is>
          <t>Travel &amp; Fuel</t>
        </is>
      </c>
      <c r="B6" s="6">
        <f>SUMIF('Expense Tracker'!C:C,A6,'Expense Tracker'!F:F)</f>
        <v/>
      </c>
      <c r="C6" s="6">
        <f>SUMIF('Expense Tracker'!C:C,A6,'Expense Tracker'!H:H)</f>
        <v/>
      </c>
      <c r="D6" s="6">
        <f>SUMIF('Expense Tracker'!C:C,A6,'Expense Tracker'!I:I)</f>
        <v/>
      </c>
      <c r="E6" s="5">
        <f>COUNTIF('Expense Tracker'!C:C,A6)</f>
        <v/>
      </c>
    </row>
    <row r="7">
      <c r="A7" s="3" t="inlineStr">
        <is>
          <t>Marketing</t>
        </is>
      </c>
      <c r="B7" s="9">
        <f>SUMIF('Expense Tracker'!C:C,A7,'Expense Tracker'!F:F)</f>
        <v/>
      </c>
      <c r="C7" s="9">
        <f>SUMIF('Expense Tracker'!C:C,A7,'Expense Tracker'!H:H)</f>
        <v/>
      </c>
      <c r="D7" s="9">
        <f>SUMIF('Expense Tracker'!C:C,A7,'Expense Tracker'!I:I)</f>
        <v/>
      </c>
      <c r="E7" s="3">
        <f>COUNTIF('Expense Tracker'!C:C,A7)</f>
        <v/>
      </c>
    </row>
    <row r="8">
      <c r="A8" s="5" t="inlineStr">
        <is>
          <t>Office Expenses</t>
        </is>
      </c>
      <c r="B8" s="6">
        <f>SUMIF('Expense Tracker'!C:C,A8,'Expense Tracker'!F:F)</f>
        <v/>
      </c>
      <c r="C8" s="6">
        <f>SUMIF('Expense Tracker'!C:C,A8,'Expense Tracker'!H:H)</f>
        <v/>
      </c>
      <c r="D8" s="6">
        <f>SUMIF('Expense Tracker'!C:C,A8,'Expense Tracker'!I:I)</f>
        <v/>
      </c>
      <c r="E8" s="5">
        <f>COUNTIF('Expense Tracker'!C:C,A8)</f>
        <v/>
      </c>
    </row>
    <row r="9">
      <c r="A9" s="3" t="inlineStr">
        <is>
          <t>Miscellaneous</t>
        </is>
      </c>
      <c r="B9" s="9">
        <f>SUMIF('Expense Tracker'!C:C,A9,'Expense Tracker'!F:F)</f>
        <v/>
      </c>
      <c r="C9" s="9">
        <f>SUMIF('Expense Tracker'!C:C,A9,'Expense Tracker'!H:H)</f>
        <v/>
      </c>
      <c r="D9" s="9">
        <f>SUMIF('Expense Tracker'!C:C,A9,'Expense Tracker'!I:I)</f>
        <v/>
      </c>
      <c r="E9" s="3">
        <f>COUNTIF('Expense Tracker'!C:C,A9)</f>
        <v/>
      </c>
    </row>
    <row r="10">
      <c r="A10" s="17" t="inlineStr">
        <is>
          <t>TOTAL</t>
        </is>
      </c>
      <c r="B10" s="18">
        <f>SUM(B5:B9)</f>
        <v/>
      </c>
      <c r="C10" s="18">
        <f>SUM(C5:C9)</f>
        <v/>
      </c>
      <c r="D10" s="18">
        <f>SUM(D5:D9)</f>
        <v/>
      </c>
      <c r="E10" s="17">
        <f>SUM(E5:E9)</f>
        <v/>
      </c>
    </row>
  </sheetData>
  <autoFilter ref="A4:E10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3" t="inlineStr">
        <is>
          <t>GST SUMMARY REPORT</t>
        </is>
      </c>
    </row>
    <row r="3">
      <c r="A3" s="19" t="inlineStr">
        <is>
          <t>GST COLLECTED (OUTPUT TAX)</t>
        </is>
      </c>
    </row>
    <row r="4">
      <c r="A4" s="2" t="inlineStr">
        <is>
          <t>Source</t>
        </is>
      </c>
      <c r="B4" s="2" t="inlineStr">
        <is>
          <t>Base Amount (₹)</t>
        </is>
      </c>
      <c r="C4" s="2" t="inlineStr">
        <is>
          <t>GST Amount (₹)</t>
        </is>
      </c>
    </row>
    <row r="5">
      <c r="A5" s="3" t="inlineStr">
        <is>
          <t>Service Revenue</t>
        </is>
      </c>
      <c r="B5" s="9">
        <f>SUM('Income Tracker'!J:J)</f>
        <v/>
      </c>
      <c r="C5" s="9">
        <f>SUM('Income Tracker'!L:L)</f>
        <v/>
      </c>
    </row>
    <row r="6">
      <c r="A6" s="17" t="inlineStr">
        <is>
          <t>TOTAL GST COLLECTED</t>
        </is>
      </c>
      <c r="B6" s="6">
        <f>B5</f>
        <v/>
      </c>
      <c r="C6" s="20">
        <f>C5</f>
        <v/>
      </c>
    </row>
    <row r="9">
      <c r="A9" s="21" t="inlineStr">
        <is>
          <t>GST PAID (INPUT TAX)</t>
        </is>
      </c>
    </row>
    <row r="10">
      <c r="A10" s="2" t="inlineStr">
        <is>
          <t>Source</t>
        </is>
      </c>
      <c r="B10" s="2" t="inlineStr">
        <is>
          <t>Base Amount (₹)</t>
        </is>
      </c>
      <c r="C10" s="2" t="inlineStr">
        <is>
          <t>GST Amount (₹)</t>
        </is>
      </c>
    </row>
    <row r="11">
      <c r="A11" s="3" t="inlineStr">
        <is>
          <t>Expenses</t>
        </is>
      </c>
      <c r="B11" s="9">
        <f>SUM('Expense Tracker'!F:F)</f>
        <v/>
      </c>
      <c r="C11" s="9">
        <f>SUM('Expense Tracker'!H:H)</f>
        <v/>
      </c>
    </row>
    <row r="12">
      <c r="A12" s="5" t="inlineStr">
        <is>
          <t>Stock Purchases</t>
        </is>
      </c>
      <c r="B12" s="6">
        <f>SUM('Stock Purchases'!K:K)</f>
        <v/>
      </c>
      <c r="C12" s="6">
        <f>SUM('Stock Purchases'!M:M)</f>
        <v/>
      </c>
    </row>
    <row r="13">
      <c r="A13" s="3" t="inlineStr">
        <is>
          <t>Machine Purchases</t>
        </is>
      </c>
      <c r="B13" s="9">
        <f>SUM('Machines &amp; Equipment'!H:H)</f>
        <v/>
      </c>
      <c r="C13" s="9">
        <f>SUM('Machines &amp; Equipment'!J:J)</f>
        <v/>
      </c>
    </row>
    <row r="14">
      <c r="A14" s="5" t="inlineStr">
        <is>
          <t>Maintenance</t>
        </is>
      </c>
      <c r="B14" s="6">
        <f>SUM('Machine Maintenance'!F:F)</f>
        <v/>
      </c>
      <c r="C14" s="6">
        <f>SUM('Machine Maintenance'!H:H)</f>
        <v/>
      </c>
    </row>
    <row r="15">
      <c r="A15" s="15" t="inlineStr">
        <is>
          <t>TOTAL GST PAID</t>
        </is>
      </c>
      <c r="B15" s="9">
        <f>SUM(B11:B14)</f>
        <v/>
      </c>
      <c r="C15" s="22">
        <f>SUM(C11:C14)</f>
        <v/>
      </c>
    </row>
    <row r="18">
      <c r="A18" s="23" t="inlineStr">
        <is>
          <t>GST INVOICE STATUS</t>
        </is>
      </c>
    </row>
    <row r="19">
      <c r="A19" t="inlineStr">
        <is>
          <t>GST Paid (from Invoices)</t>
        </is>
      </c>
      <c r="B19" s="24">
        <f>SUMIF('GST Invoices'!I:I,"Paid",'GST Invoices'!G:G)</f>
        <v/>
      </c>
    </row>
    <row r="20">
      <c r="A20" t="inlineStr">
        <is>
          <t>GST Pending (from Invoices)</t>
        </is>
      </c>
      <c r="B20" s="25">
        <f>SUMIF('GST Invoices'!I:I,"Pending",'GST Invoices'!G:G)</f>
        <v/>
      </c>
    </row>
    <row r="23">
      <c r="A23" s="26" t="inlineStr">
        <is>
          <t>NET GST PAYABLE</t>
        </is>
      </c>
      <c r="C23" s="27">
        <f>C6-C15</f>
        <v/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3" t="inlineStr">
        <is>
          <t>TDS SUMMARY REPORT</t>
        </is>
      </c>
    </row>
    <row r="2">
      <c r="A2" s="28" t="inlineStr">
        <is>
          <t>(For TDS Filing - Section 194C)</t>
        </is>
      </c>
    </row>
    <row r="4">
      <c r="A4" s="14" t="inlineStr">
        <is>
          <t>TDS DEDUCTED FROM CONTRACTORS</t>
        </is>
      </c>
    </row>
    <row r="5">
      <c r="A5" s="2" t="inlineStr">
        <is>
          <t>Metric</t>
        </is>
      </c>
      <c r="B5" s="2" t="inlineStr">
        <is>
          <t>Amount (₹)</t>
        </is>
      </c>
    </row>
    <row r="6">
      <c r="A6" s="5" t="inlineStr">
        <is>
          <t>Total Contractor Payments (Gross)</t>
        </is>
      </c>
      <c r="B6" s="6">
        <f>SUM('Contractor Payments'!G:G)</f>
        <v/>
      </c>
    </row>
    <row r="7">
      <c r="A7" s="3" t="inlineStr">
        <is>
          <t>Total TDS Deducted</t>
        </is>
      </c>
      <c r="B7" s="9">
        <f>SUM('Contractor Payments'!I:I)</f>
        <v/>
      </c>
    </row>
    <row r="8">
      <c r="A8" s="5" t="inlineStr">
        <is>
          <t>Total Net Paid to Contractors</t>
        </is>
      </c>
      <c r="B8" s="6">
        <f>SUM('Contractor Payments'!J:J)</f>
        <v/>
      </c>
    </row>
    <row r="9">
      <c r="A9" s="3" t="inlineStr">
        <is>
          <t>TDS Deposited</t>
        </is>
      </c>
      <c r="B9" s="9">
        <f>SUMIF('Contractor Payments'!N:N,"Yes",'Contractor Payments'!I:I)</f>
        <v/>
      </c>
    </row>
    <row r="10">
      <c r="A10" s="5" t="inlineStr">
        <is>
          <t>TDS Pending Deposit</t>
        </is>
      </c>
      <c r="B10" s="29">
        <f>B7-B9</f>
        <v/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3" t="inlineStr">
        <is>
          <t>DETAILED STOCK REPORTS</t>
        </is>
      </c>
    </row>
    <row r="3">
      <c r="A3" s="19" t="inlineStr">
        <is>
          <t>CHEMICALS STOCK SUMMARY</t>
        </is>
      </c>
    </row>
    <row r="4">
      <c r="A4" s="2" t="inlineStr">
        <is>
          <t>Item ID</t>
        </is>
      </c>
      <c r="B4" s="2" t="inlineStr">
        <is>
          <t>Chemical Name</t>
        </is>
      </c>
      <c r="C4" s="2" t="inlineStr">
        <is>
          <t>Unit Rate (₹)</t>
        </is>
      </c>
      <c r="D4" s="2" t="inlineStr">
        <is>
          <t>Current Stock</t>
        </is>
      </c>
      <c r="E4" s="2" t="inlineStr">
        <is>
          <t>Min Level</t>
        </is>
      </c>
      <c r="F4" s="2" t="inlineStr">
        <is>
          <t>Status</t>
        </is>
      </c>
      <c r="G4" s="2" t="inlineStr">
        <is>
          <t>Est. Value (₹)</t>
        </is>
      </c>
    </row>
    <row r="5">
      <c r="A5" s="3">
        <f>'Chemicals Stock'!A2</f>
        <v/>
      </c>
      <c r="B5" s="3">
        <f>'Chemicals Stock'!B2</f>
        <v/>
      </c>
      <c r="C5" s="9">
        <f>'Chemicals Stock'!F2</f>
        <v/>
      </c>
      <c r="D5" s="3">
        <f>'Chemicals Stock'!J2</f>
        <v/>
      </c>
      <c r="E5" s="3">
        <f>'Chemicals Stock'!K2</f>
        <v/>
      </c>
      <c r="F5" s="3">
        <f>'Chemicals Stock'!L2</f>
        <v/>
      </c>
      <c r="G5" s="9">
        <f>'Chemicals Stock'!M2</f>
        <v/>
      </c>
    </row>
    <row r="6">
      <c r="A6" s="5">
        <f>'Chemicals Stock'!A3</f>
        <v/>
      </c>
      <c r="B6" s="5">
        <f>'Chemicals Stock'!B3</f>
        <v/>
      </c>
      <c r="C6" s="6">
        <f>'Chemicals Stock'!F3</f>
        <v/>
      </c>
      <c r="D6" s="5">
        <f>'Chemicals Stock'!J3</f>
        <v/>
      </c>
      <c r="E6" s="5">
        <f>'Chemicals Stock'!K3</f>
        <v/>
      </c>
      <c r="F6" s="5">
        <f>'Chemicals Stock'!L3</f>
        <v/>
      </c>
      <c r="G6" s="6">
        <f>'Chemicals Stock'!M3</f>
        <v/>
      </c>
    </row>
    <row r="7">
      <c r="A7" s="3">
        <f>'Chemicals Stock'!A4</f>
        <v/>
      </c>
      <c r="B7" s="3">
        <f>'Chemicals Stock'!B4</f>
        <v/>
      </c>
      <c r="C7" s="9">
        <f>'Chemicals Stock'!F4</f>
        <v/>
      </c>
      <c r="D7" s="3">
        <f>'Chemicals Stock'!J4</f>
        <v/>
      </c>
      <c r="E7" s="3">
        <f>'Chemicals Stock'!K4</f>
        <v/>
      </c>
      <c r="F7" s="3">
        <f>'Chemicals Stock'!L4</f>
        <v/>
      </c>
      <c r="G7" s="9">
        <f>'Chemicals Stock'!M4</f>
        <v/>
      </c>
    </row>
    <row r="8">
      <c r="A8" s="5">
        <f>'Chemicals Stock'!A5</f>
        <v/>
      </c>
      <c r="B8" s="5">
        <f>'Chemicals Stock'!B5</f>
        <v/>
      </c>
      <c r="C8" s="6">
        <f>'Chemicals Stock'!F5</f>
        <v/>
      </c>
      <c r="D8" s="5">
        <f>'Chemicals Stock'!J5</f>
        <v/>
      </c>
      <c r="E8" s="5">
        <f>'Chemicals Stock'!K5</f>
        <v/>
      </c>
      <c r="F8" s="5">
        <f>'Chemicals Stock'!L5</f>
        <v/>
      </c>
      <c r="G8" s="6">
        <f>'Chemicals Stock'!M5</f>
        <v/>
      </c>
    </row>
    <row r="9">
      <c r="A9" s="3">
        <f>'Chemicals Stock'!A6</f>
        <v/>
      </c>
      <c r="B9" s="3">
        <f>'Chemicals Stock'!B6</f>
        <v/>
      </c>
      <c r="C9" s="9">
        <f>'Chemicals Stock'!F6</f>
        <v/>
      </c>
      <c r="D9" s="3">
        <f>'Chemicals Stock'!J6</f>
        <v/>
      </c>
      <c r="E9" s="3">
        <f>'Chemicals Stock'!K6</f>
        <v/>
      </c>
      <c r="F9" s="3">
        <f>'Chemicals Stock'!L6</f>
        <v/>
      </c>
      <c r="G9" s="9">
        <f>'Chemicals Stock'!M6</f>
        <v/>
      </c>
    </row>
    <row r="10">
      <c r="A10" s="30" t="inlineStr">
        <is>
          <t>TOTAL</t>
        </is>
      </c>
      <c r="D10" s="30">
        <f>SUM(D5:D9)</f>
        <v/>
      </c>
      <c r="G10" s="31">
        <f>SUM(G5:G9)</f>
        <v/>
      </c>
    </row>
    <row r="13">
      <c r="A13" s="32" t="inlineStr">
        <is>
          <t>ACCESSORIES STOCK SUMMARY</t>
        </is>
      </c>
    </row>
    <row r="14">
      <c r="A14" s="2" t="inlineStr">
        <is>
          <t>Item ID</t>
        </is>
      </c>
      <c r="B14" s="2" t="inlineStr">
        <is>
          <t>Item Name</t>
        </is>
      </c>
      <c r="C14" s="2" t="inlineStr">
        <is>
          <t>Unit Rate (₹)</t>
        </is>
      </c>
      <c r="D14" s="2" t="inlineStr">
        <is>
          <t>Current Stock</t>
        </is>
      </c>
      <c r="E14" s="2" t="inlineStr">
        <is>
          <t>Min Level</t>
        </is>
      </c>
      <c r="F14" s="2" t="inlineStr">
        <is>
          <t>Status</t>
        </is>
      </c>
      <c r="G14" s="2" t="inlineStr">
        <is>
          <t>Est. Value (₹)</t>
        </is>
      </c>
    </row>
    <row r="15">
      <c r="A15" s="3">
        <f>'Accessories Stock'!A2</f>
        <v/>
      </c>
      <c r="B15" s="3">
        <f>'Accessories Stock'!B2</f>
        <v/>
      </c>
      <c r="C15" s="9">
        <f>'Accessories Stock'!E2</f>
        <v/>
      </c>
      <c r="D15" s="3">
        <f>'Accessories Stock'!I2</f>
        <v/>
      </c>
      <c r="E15" s="3">
        <f>'Accessories Stock'!J2</f>
        <v/>
      </c>
      <c r="F15" s="3">
        <f>'Accessories Stock'!K2</f>
        <v/>
      </c>
      <c r="G15" s="9">
        <f>'Accessories Stock'!L2</f>
        <v/>
      </c>
    </row>
    <row r="16">
      <c r="A16" s="5">
        <f>'Accessories Stock'!A3</f>
        <v/>
      </c>
      <c r="B16" s="5">
        <f>'Accessories Stock'!B3</f>
        <v/>
      </c>
      <c r="C16" s="6">
        <f>'Accessories Stock'!E3</f>
        <v/>
      </c>
      <c r="D16" s="5">
        <f>'Accessories Stock'!I3</f>
        <v/>
      </c>
      <c r="E16" s="5">
        <f>'Accessories Stock'!J3</f>
        <v/>
      </c>
      <c r="F16" s="5">
        <f>'Accessories Stock'!K3</f>
        <v/>
      </c>
      <c r="G16" s="6">
        <f>'Accessories Stock'!L3</f>
        <v/>
      </c>
    </row>
    <row r="17">
      <c r="A17" s="3">
        <f>'Accessories Stock'!A4</f>
        <v/>
      </c>
      <c r="B17" s="3">
        <f>'Accessories Stock'!B4</f>
        <v/>
      </c>
      <c r="C17" s="9">
        <f>'Accessories Stock'!E4</f>
        <v/>
      </c>
      <c r="D17" s="3">
        <f>'Accessories Stock'!I4</f>
        <v/>
      </c>
      <c r="E17" s="3">
        <f>'Accessories Stock'!J4</f>
        <v/>
      </c>
      <c r="F17" s="3">
        <f>'Accessories Stock'!K4</f>
        <v/>
      </c>
      <c r="G17" s="9">
        <f>'Accessories Stock'!L4</f>
        <v/>
      </c>
    </row>
    <row r="18">
      <c r="A18" s="5">
        <f>'Accessories Stock'!A5</f>
        <v/>
      </c>
      <c r="B18" s="5">
        <f>'Accessories Stock'!B5</f>
        <v/>
      </c>
      <c r="C18" s="6">
        <f>'Accessories Stock'!E5</f>
        <v/>
      </c>
      <c r="D18" s="5">
        <f>'Accessories Stock'!I5</f>
        <v/>
      </c>
      <c r="E18" s="5">
        <f>'Accessories Stock'!J5</f>
        <v/>
      </c>
      <c r="F18" s="5">
        <f>'Accessories Stock'!K5</f>
        <v/>
      </c>
      <c r="G18" s="6">
        <f>'Accessories Stock'!L5</f>
        <v/>
      </c>
    </row>
    <row r="19">
      <c r="A19" s="3">
        <f>'Accessories Stock'!A6</f>
        <v/>
      </c>
      <c r="B19" s="3">
        <f>'Accessories Stock'!B6</f>
        <v/>
      </c>
      <c r="C19" s="9">
        <f>'Accessories Stock'!E6</f>
        <v/>
      </c>
      <c r="D19" s="3">
        <f>'Accessories Stock'!I6</f>
        <v/>
      </c>
      <c r="E19" s="3">
        <f>'Accessories Stock'!J6</f>
        <v/>
      </c>
      <c r="F19" s="3">
        <f>'Accessories Stock'!K6</f>
        <v/>
      </c>
      <c r="G19" s="9">
        <f>'Accessories Stock'!L6</f>
        <v/>
      </c>
    </row>
    <row r="20">
      <c r="A20" s="30" t="inlineStr">
        <is>
          <t>TOTAL</t>
        </is>
      </c>
      <c r="D20" s="30">
        <f>SUM(D15:D19)</f>
        <v/>
      </c>
      <c r="G20" s="31">
        <f>SUM(G15:G19)</f>
        <v/>
      </c>
    </row>
    <row r="23">
      <c r="A23" s="33" t="inlineStr">
        <is>
          <t>MACHINE ASSET SUMMARY</t>
        </is>
      </c>
    </row>
    <row r="24">
      <c r="A24" s="2" t="inlineStr">
        <is>
          <t>Category</t>
        </is>
      </c>
      <c r="B24" s="2" t="inlineStr">
        <is>
          <t>Count</t>
        </is>
      </c>
      <c r="C24" s="2" t="inlineStr">
        <is>
          <t>Base Value (₹)</t>
        </is>
      </c>
      <c r="D24" s="2" t="inlineStr">
        <is>
          <t>GST (₹)</t>
        </is>
      </c>
      <c r="E24" s="2" t="inlineStr">
        <is>
          <t>Total Value (₹)</t>
        </is>
      </c>
    </row>
    <row r="25">
      <c r="A25" s="3" t="inlineStr">
        <is>
          <t>Cleaning Machine</t>
        </is>
      </c>
      <c r="B25" s="3">
        <f>COUNTIF('Machines &amp; Equipment'!D:D,A25)</f>
        <v/>
      </c>
      <c r="C25" s="9">
        <f>SUMIF('Machines &amp; Equipment'!D:D,A25,'Machines &amp; Equipment'!H:H)</f>
        <v/>
      </c>
      <c r="D25" s="9">
        <f>SUMIF('Machines &amp; Equipment'!D:D,A25,'Machines &amp; Equipment'!J:J)</f>
        <v/>
      </c>
      <c r="E25" s="9">
        <f>SUMIF('Machines &amp; Equipment'!D:D,A25,'Machines &amp; Equipment'!K:K)</f>
        <v/>
      </c>
    </row>
    <row r="26">
      <c r="A26" s="5" t="inlineStr">
        <is>
          <t>Spray Equipment</t>
        </is>
      </c>
      <c r="B26" s="5">
        <f>COUNTIF('Machines &amp; Equipment'!D:D,A26)</f>
        <v/>
      </c>
      <c r="C26" s="6">
        <f>SUMIF('Machines &amp; Equipment'!D:D,A26,'Machines &amp; Equipment'!H:H)</f>
        <v/>
      </c>
      <c r="D26" s="6">
        <f>SUMIF('Machines &amp; Equipment'!D:D,A26,'Machines &amp; Equipment'!J:J)</f>
        <v/>
      </c>
      <c r="E26" s="6">
        <f>SUMIF('Machines &amp; Equipment'!D:D,A26,'Machines &amp; Equipment'!K:K)</f>
        <v/>
      </c>
    </row>
    <row r="27">
      <c r="A27" s="3" t="inlineStr">
        <is>
          <t>Power Tools</t>
        </is>
      </c>
      <c r="B27" s="3">
        <f>COUNTIF('Machines &amp; Equipment'!D:D,A27)</f>
        <v/>
      </c>
      <c r="C27" s="9">
        <f>SUMIF('Machines &amp; Equipment'!D:D,A27,'Machines &amp; Equipment'!H:H)</f>
        <v/>
      </c>
      <c r="D27" s="9">
        <f>SUMIF('Machines &amp; Equipment'!D:D,A27,'Machines &amp; Equipment'!J:J)</f>
        <v/>
      </c>
      <c r="E27" s="9">
        <f>SUMIF('Machines &amp; Equipment'!D:D,A27,'Machines &amp; Equipment'!K:K)</f>
        <v/>
      </c>
    </row>
    <row r="28">
      <c r="A28" s="5" t="inlineStr">
        <is>
          <t>Safety Equipment</t>
        </is>
      </c>
      <c r="B28" s="5">
        <f>COUNTIF('Machines &amp; Equipment'!D:D,A28)</f>
        <v/>
      </c>
      <c r="C28" s="6">
        <f>SUMIF('Machines &amp; Equipment'!D:D,A28,'Machines &amp; Equipment'!H:H)</f>
        <v/>
      </c>
      <c r="D28" s="6">
        <f>SUMIF('Machines &amp; Equipment'!D:D,A28,'Machines &amp; Equipment'!J:J)</f>
        <v/>
      </c>
      <c r="E28" s="6">
        <f>SUMIF('Machines &amp; Equipment'!D:D,A28,'Machines &amp; Equipment'!K:K)</f>
        <v/>
      </c>
    </row>
    <row r="29">
      <c r="A29" s="30" t="inlineStr">
        <is>
          <t>TOTAL</t>
        </is>
      </c>
      <c r="B29" s="30">
        <f>SUM(B25:B28)</f>
        <v/>
      </c>
      <c r="C29" s="31">
        <f>SUM(C25:C28)</f>
        <v/>
      </c>
      <c r="D29" s="31">
        <f>SUM(D25:D28)</f>
        <v/>
      </c>
      <c r="E29" s="31">
        <f>SUM(E25:E28)</f>
        <v/>
      </c>
    </row>
    <row r="32">
      <c r="A32" s="34" t="inlineStr">
        <is>
          <t>STOCK PURCHASE SUMMARY</t>
        </is>
      </c>
      <c r="B32" s="35" t="n"/>
    </row>
    <row r="33">
      <c r="A33" s="36" t="inlineStr">
        <is>
          <t>Total Stock Purchases (Base)</t>
        </is>
      </c>
      <c r="B33" s="37">
        <f>SUM('Stock Purchases'!K:K)</f>
        <v/>
      </c>
    </row>
    <row r="34">
      <c r="A34" s="3" t="inlineStr">
        <is>
          <t>Total GST on Purchases</t>
        </is>
      </c>
      <c r="B34" s="9">
        <f>SUM('Stock Purchases'!M:M)</f>
        <v/>
      </c>
    </row>
    <row r="35">
      <c r="A35" s="38" t="inlineStr">
        <is>
          <t>Total with GST</t>
        </is>
      </c>
      <c r="B35" s="39">
        <f>SUM('Stock Purchases'!N:N)</f>
        <v/>
      </c>
    </row>
    <row r="36">
      <c r="A36" s="3" t="inlineStr">
        <is>
          <t>Paid</t>
        </is>
      </c>
      <c r="B36" s="9">
        <f>SUMIF('Stock Purchases'!O:O,"Paid",'Stock Purchases'!N:N)</f>
        <v/>
      </c>
    </row>
    <row r="37">
      <c r="A37" s="36" t="inlineStr">
        <is>
          <t>Pending</t>
        </is>
      </c>
      <c r="B37" s="40">
        <f>SUMIF('Stock Purchases'!O:O,"Pending",'Stock Purchases'!N:N)</f>
        <v/>
      </c>
    </row>
  </sheetData>
  <autoFilter ref="A4:G10"/>
  <mergeCells count="2">
    <mergeCell ref="A32:B3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3" t="inlineStr">
        <is>
          <t>PROFITABILITY ANALYSIS</t>
        </is>
      </c>
    </row>
    <row r="3">
      <c r="A3" s="14" t="inlineStr">
        <is>
          <t>ACTUAL NET PROFIT CALCULATION</t>
        </is>
      </c>
    </row>
    <row r="4">
      <c r="A4" s="2" t="inlineStr">
        <is>
          <t>Description</t>
        </is>
      </c>
      <c r="B4" s="2" t="inlineStr">
        <is>
          <t>Amount (₹)</t>
        </is>
      </c>
    </row>
    <row r="5">
      <c r="A5" s="3" t="inlineStr">
        <is>
          <t>TOTAL REVENUE (After Discount, excl. GST)</t>
        </is>
      </c>
      <c r="B5" s="41">
        <f>SUM('Income Tracker'!J:J)</f>
        <v/>
      </c>
    </row>
    <row r="6">
      <c r="A6" s="5" t="inlineStr"/>
      <c r="B6" s="5" t="n"/>
    </row>
    <row r="7">
      <c r="A7" s="3" t="inlineStr">
        <is>
          <t>Less: Operating Expenses</t>
        </is>
      </c>
      <c r="B7" s="42">
        <f>SUM('Expense Tracker'!F:F)</f>
        <v/>
      </c>
    </row>
    <row r="8">
      <c r="A8" s="5" t="inlineStr">
        <is>
          <t>Less: Employee Salaries</t>
        </is>
      </c>
      <c r="B8" s="43">
        <f>SUM('Employee Salaries'!N:N)</f>
        <v/>
      </c>
    </row>
    <row r="9">
      <c r="A9" s="3" t="inlineStr">
        <is>
          <t>Less: Contractor Payments</t>
        </is>
      </c>
      <c r="B9" s="42">
        <f>SUM('Contractor Payments'!J:J)</f>
        <v/>
      </c>
    </row>
    <row r="10">
      <c r="A10" s="5" t="inlineStr">
        <is>
          <t>Less: Stock Purchases</t>
        </is>
      </c>
      <c r="B10" s="43">
        <f>SUM('Stock Purchases'!K:K)</f>
        <v/>
      </c>
    </row>
    <row r="11">
      <c r="A11" s="3" t="inlineStr">
        <is>
          <t>Less: Machine Maintenance</t>
        </is>
      </c>
      <c r="B11" s="42">
        <f>SUM('Machine Maintenance'!F:F)</f>
        <v/>
      </c>
    </row>
    <row r="12">
      <c r="A12" s="5" t="inlineStr"/>
      <c r="B12" s="5" t="n"/>
    </row>
    <row r="13">
      <c r="A13" s="15" t="inlineStr">
        <is>
          <t>TOTAL EXPENSES</t>
        </is>
      </c>
      <c r="B13" s="22">
        <f>B6+B7+B8+B9+B10</f>
        <v/>
      </c>
    </row>
    <row r="14">
      <c r="A14" s="5" t="inlineStr"/>
      <c r="B14" s="44" t="n"/>
    </row>
    <row r="15">
      <c r="A15" s="15" t="inlineStr">
        <is>
          <t>NET PROFIT / (LOSS)</t>
        </is>
      </c>
      <c r="B15" s="45">
        <f>B5-B12</f>
        <v/>
      </c>
    </row>
    <row r="16">
      <c r="A16" s="5" t="inlineStr"/>
      <c r="B16" s="5" t="n"/>
    </row>
    <row r="17">
      <c r="A17" s="3" t="inlineStr">
        <is>
          <t>Net Profit Margin %</t>
        </is>
      </c>
      <c r="B17" s="46">
        <f>IF(B5&gt;0,B14/B5,0)</f>
        <v/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7" t="inlineStr">
        <is>
          <t>MIS DASHBOARD</t>
        </is>
      </c>
    </row>
    <row r="2" ht="10" customHeight="1"/>
    <row r="3">
      <c r="A3" s="48" t="inlineStr">
        <is>
          <t>DATE FILTER SETTINGS</t>
        </is>
      </c>
    </row>
    <row r="4">
      <c r="A4" s="28" t="inlineStr">
        <is>
          <t>Enter dates below to filter Dashboard reports:</t>
        </is>
      </c>
    </row>
    <row r="5">
      <c r="A5" s="49" t="inlineStr">
        <is>
          <t>From Date:</t>
        </is>
      </c>
      <c r="B5" s="50" t="n">
        <v>45658</v>
      </c>
      <c r="C5" s="49" t="inlineStr">
        <is>
          <t>To Date:</t>
        </is>
      </c>
      <c r="D5" s="50" t="n">
        <v>45688</v>
      </c>
    </row>
    <row r="6">
      <c r="A6" s="51" t="inlineStr">
        <is>
          <t>Change the dates above to filter all metrics below</t>
        </is>
      </c>
    </row>
    <row r="7" ht="15" customHeight="1"/>
    <row r="8">
      <c r="A8" s="13" t="inlineStr">
        <is>
          <t>KEY FINANCIAL METRICS (FILTERED BY DATE)</t>
        </is>
      </c>
    </row>
    <row r="9">
      <c r="A9" s="52" t="inlineStr">
        <is>
          <t>TOTAL REVENUE</t>
        </is>
      </c>
      <c r="C9" s="53" t="inlineStr">
        <is>
          <t>TOTAL EXPENSES</t>
        </is>
      </c>
      <c r="E9" s="54" t="inlineStr">
        <is>
          <t>CONTRACTOR PAY</t>
        </is>
      </c>
      <c r="G9" s="55" t="inlineStr">
        <is>
          <t>GST COLLECTED</t>
        </is>
      </c>
      <c r="I9" s="56" t="inlineStr">
        <is>
          <t>STOCK PURCHASES</t>
        </is>
      </c>
    </row>
    <row r="10">
      <c r="A10" s="57">
        <f>SUMIFS('Income Tracker'!M:M,'Income Tracker'!A:A,"&gt;="&amp;B5,'Income Tracker'!A:A,"&lt;="&amp;D5)</f>
        <v/>
      </c>
      <c r="C10" s="57">
        <f>SUMIFS('Expense Tracker'!I:I,'Expense Tracker'!A:A,"&gt;="&amp;B5,'Expense Tracker'!A:A,"&lt;="&amp;D5)</f>
        <v/>
      </c>
      <c r="E10" s="57">
        <f>SUMIFS('Contractor Payments'!J:J,'Contractor Payments'!A:A,"&gt;="&amp;B5,'Contractor Payments'!A:A,"&lt;="&amp;D5)</f>
        <v/>
      </c>
      <c r="G10" s="57">
        <f>SUMIFS('Income Tracker'!L:L,'Income Tracker'!A:A,"&gt;="&amp;B5,'Income Tracker'!A:A,"&lt;="&amp;D5)</f>
        <v/>
      </c>
      <c r="I10" s="57">
        <f>SUMIFS('Stock Purchases'!N:N,'Stock Purchases'!A:A,"&gt;="&amp;B5,'Stock Purchases'!A:A,"&lt;="&amp;D5)</f>
        <v/>
      </c>
    </row>
    <row r="11" ht="15" customHeight="1"/>
    <row r="12">
      <c r="A12" s="58" t="inlineStr">
        <is>
          <t>NET PROFIT</t>
        </is>
      </c>
      <c r="C12" s="59" t="inlineStr">
        <is>
          <t>TOTAL ORDERS</t>
        </is>
      </c>
      <c r="E12" s="60" t="inlineStr">
        <is>
          <t>GST PAID</t>
        </is>
      </c>
      <c r="G12" s="61" t="inlineStr">
        <is>
          <t>NET GST PAYABLE</t>
        </is>
      </c>
      <c r="I12" s="62" t="inlineStr">
        <is>
          <t>TDS DEDUCTED</t>
        </is>
      </c>
    </row>
    <row r="13">
      <c r="A13" s="63">
        <f>SUMIFS('Income Tracker'!J:J,'Income Tracker'!A:A,"&gt;="&amp;B5,'Income Tracker'!A:A,"&lt;="&amp;D5)-SUMIFS('Expense Tracker'!F:F,'Expense Tracker'!A:A,"&gt;="&amp;B5,'Expense Tracker'!A:A,"&lt;="&amp;D5)-SUMIFS('Contractor Payments'!J:J,'Contractor Payments'!A:A,"&gt;="&amp;B5,'Contractor Payments'!A:A,"&lt;="&amp;D5)-SUMIFS('Stock Purchases'!K:K,'Stock Purchases'!A:A,"&gt;="&amp;B5,'Stock Purchases'!A:A,"&lt;="&amp;D5)</f>
        <v/>
      </c>
      <c r="C13" s="64">
        <f>COUNTIFS('Income Tracker'!A:A,"&gt;="&amp;B5,'Income Tracker'!A:A,"&lt;="&amp;D5)</f>
        <v/>
      </c>
      <c r="E13" s="57">
        <f>SUMIFS('Expense Tracker'!H:H,'Expense Tracker'!A:A,"&gt;="&amp;B5,'Expense Tracker'!A:A,"&lt;="&amp;D5)+SUMIFS('Stock Purchases'!M:M,'Stock Purchases'!A:A,"&gt;="&amp;B5,'Stock Purchases'!A:A,"&lt;="&amp;D5)</f>
        <v/>
      </c>
      <c r="G13" s="57">
        <f>G10-E13</f>
        <v/>
      </c>
      <c r="I13" s="57">
        <f>SUMIFS('Contractor Payments'!I:I,'Contractor Payments'!A:A,"&gt;="&amp;B5,'Contractor Payments'!A:A,"&lt;="&amp;D5)</f>
        <v/>
      </c>
    </row>
    <row r="14" ht="20" customHeight="1"/>
    <row r="15">
      <c r="A15" s="65" t="inlineStr">
        <is>
          <t>ALL TIME SUMMARY (WITHOUT DATE FILTER)</t>
        </is>
      </c>
    </row>
    <row r="16">
      <c r="A16" s="3" t="inlineStr">
        <is>
          <t>Total Revenue (All)</t>
        </is>
      </c>
      <c r="B16" s="16">
        <f>SUM('Income Tracker'!M:M)</f>
        <v/>
      </c>
      <c r="C16" s="3" t="inlineStr">
        <is>
          <t>Total Expenses (All)</t>
        </is>
      </c>
      <c r="D16" s="16">
        <f>SUM('Expense Tracker'!I:I)+SUM('Employee Salaries'!N:N)+SUM('Contractor Payments'!J:J)+SUM('Stock Purchases'!N:N)+SUM('Machine Maintenance'!I:I)</f>
        <v/>
      </c>
      <c r="E16" s="3" t="inlineStr">
        <is>
          <t>Total Profit (All)</t>
        </is>
      </c>
      <c r="F16" s="66">
        <f>SUM('Income Tracker'!J:J)-SUM('Expense Tracker'!F:F)-SUM('Employee Salaries'!N:N)-SUM('Contractor Payments'!J:J)-SUM('Stock Purchases'!K:K)-SUM('Machine Maintenance'!F:F)</f>
        <v/>
      </c>
      <c r="G16" s="3" t="inlineStr">
        <is>
          <t>Total Orders</t>
        </is>
      </c>
      <c r="H16" s="15">
        <f>COUNTA('Income Tracker'!A:A)-1</f>
        <v/>
      </c>
      <c r="I16" s="3" t="inlineStr">
        <is>
          <t>Total Employees</t>
        </is>
      </c>
      <c r="J16" s="15">
        <f>COUNTA('Employee Salaries'!B:B)-1</f>
        <v/>
      </c>
    </row>
    <row r="17" ht="20" customHeight="1"/>
    <row r="18">
      <c r="A18" s="67" t="inlineStr">
        <is>
          <t>PENDING ITEMS (ACTION REQUIRED)</t>
        </is>
      </c>
    </row>
    <row r="19">
      <c r="A19" s="15" t="inlineStr">
        <is>
          <t>Pending Income</t>
        </is>
      </c>
      <c r="B19" s="22">
        <f>SUMIF('Income Tracker'!O:O,"Pending",'Income Tracker'!M:M)</f>
        <v/>
      </c>
      <c r="C19" s="15" t="inlineStr">
        <is>
          <t>Pending Expenses</t>
        </is>
      </c>
      <c r="D19" s="22">
        <f>SUMIF('Expense Tracker'!K:K,"Pending",'Expense Tracker'!I:I)</f>
        <v/>
      </c>
      <c r="E19" s="15" t="inlineStr">
        <is>
          <t>GST Pending</t>
        </is>
      </c>
      <c r="F19" s="22">
        <f>SUMIF('GST Invoices'!I:I,"Pending",'GST Invoices'!G:G)</f>
        <v/>
      </c>
      <c r="G19" s="15" t="inlineStr">
        <is>
          <t>TDS Pending Deposit</t>
        </is>
      </c>
      <c r="H19" s="22">
        <f>SUM('Contractor Payments'!I:I)-SUMIF('Contractor Payments'!N:N,"Yes",'Contractor Payments'!I:I)</f>
        <v/>
      </c>
      <c r="I19" s="15" t="inlineStr">
        <is>
          <t>Stock Payment Pending</t>
        </is>
      </c>
      <c r="J19" s="22">
        <f>SUMIF('Stock Purchases'!O:O,"Pending",'Stock Purchases'!N:N)</f>
        <v/>
      </c>
    </row>
  </sheetData>
  <mergeCells count="27">
    <mergeCell ref="E12:F12"/>
    <mergeCell ref="G12:H12"/>
    <mergeCell ref="A8:J8"/>
    <mergeCell ref="A4:D4"/>
    <mergeCell ref="C10:D10"/>
    <mergeCell ref="E10:F10"/>
    <mergeCell ref="G10:H10"/>
    <mergeCell ref="A15:J15"/>
    <mergeCell ref="E13:F13"/>
    <mergeCell ref="C9:D9"/>
    <mergeCell ref="G13:H13"/>
    <mergeCell ref="E9:F9"/>
    <mergeCell ref="A12:B12"/>
    <mergeCell ref="A1:J1"/>
    <mergeCell ref="C12:D12"/>
    <mergeCell ref="I12:J12"/>
    <mergeCell ref="A6:D6"/>
    <mergeCell ref="I10:J10"/>
    <mergeCell ref="A18:J18"/>
    <mergeCell ref="A3:D3"/>
    <mergeCell ref="A10:B10"/>
    <mergeCell ref="A13:B13"/>
    <mergeCell ref="C13:D13"/>
    <mergeCell ref="I13:J13"/>
    <mergeCell ref="A9:B9"/>
    <mergeCell ref="G9:H9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2026-01-29T18:51:03Z</dcterms:created>
  <dcterms:modified xsi:type="dcterms:W3CDTF">2026-01-29T18:51:03Z</dcterms:modified>
</cp:coreProperties>
</file>