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Income Tracker" sheetId="2" state="visible" r:id="rId2"/>
    <sheet name="Expense Tracker" sheetId="3" state="visible" r:id="rId3"/>
    <sheet name="Machines &amp; Equipment" sheetId="4" state="visible" r:id="rId4"/>
    <sheet name="Machine Maintenance" sheetId="5" state="visible" r:id="rId5"/>
    <sheet name="Chemicals Stock" sheetId="6" state="visible" r:id="rId6"/>
    <sheet name="Accessories Stock" sheetId="7" state="visible" r:id="rId7"/>
    <sheet name="Stock Transactions" sheetId="8" state="visible" r:id="rId8"/>
    <sheet name="Income Summary" sheetId="9" state="visible" r:id="rId9"/>
    <sheet name="Expense Summary" sheetId="10" state="visible" r:id="rId10"/>
    <sheet name="Profitability Report" sheetId="11" state="visible" r:id="rId11"/>
    <sheet name="Stock Reports" sheetId="12" state="visible" r:id="rId12"/>
    <sheet name="Dashboa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₹#,##0.00"/>
    <numFmt numFmtId="166" formatCode="DD-MMM-YYYY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  <color rgb="001F4E79"/>
      <sz val="14"/>
    </font>
    <font>
      <b val="1"/>
      <sz val="12"/>
    </font>
    <font>
      <b val="1"/>
    </font>
    <font>
      <b val="1"/>
      <color rgb="00008000"/>
    </font>
    <font>
      <b val="1"/>
      <color rgb="00FF0000"/>
      <sz val="12"/>
    </font>
    <font>
      <i val="1"/>
    </font>
    <font>
      <i val="1"/>
      <color rgb="00666666"/>
    </font>
    <font>
      <b val="1"/>
      <color rgb="001F4E79"/>
      <sz val="18"/>
    </font>
    <font>
      <b val="1"/>
      <color rgb="00FFFFFF"/>
      <sz val="12"/>
    </font>
    <font>
      <b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0" pivotButton="0" quotePrefix="0" xfId="0"/>
    <xf numFmtId="166" fontId="0" fillId="3" borderId="1" pivotButton="0" quotePrefix="0" xfId="0"/>
    <xf numFmtId="0" fontId="0" fillId="3" borderId="1" pivotButton="0" quotePrefix="0" xfId="0"/>
    <xf numFmtId="165" fontId="0" fillId="3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7" fontId="0" fillId="3" borderId="1" pivotButton="0" quotePrefix="0" xfId="0"/>
    <xf numFmtId="167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1" pivotButton="0" quotePrefix="0" xfId="0"/>
    <xf numFmtId="165" fontId="5" fillId="3" borderId="1" pivotButton="0" quotePrefix="0" xfId="0"/>
    <xf numFmtId="0" fontId="10" fillId="0" borderId="0" applyAlignment="1" pivotButton="0" quotePrefix="0" xfId="0">
      <alignment horizontal="center" vertical="center"/>
    </xf>
    <xf numFmtId="0" fontId="11" fillId="4" borderId="0" pivotButton="0" quotePrefix="0" xfId="0"/>
    <xf numFmtId="0" fontId="5" fillId="0" borderId="0" pivotButton="0" quotePrefix="0" xfId="0"/>
    <xf numFmtId="165" fontId="12" fillId="0" borderId="0" pivotButton="0" quotePrefix="0" xfId="0"/>
    <xf numFmtId="167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</cols>
  <sheetData>
    <row r="1">
      <c r="A1" s="1" t="inlineStr"/>
    </row>
    <row r="2">
      <c r="A2" t="inlineStr"/>
    </row>
    <row r="3">
      <c r="A3" s="2" t="inlineStr">
        <is>
          <t>SHEET</t>
        </is>
      </c>
      <c r="B3" s="2" t="inlineStr">
        <is>
          <t>PURPOSE</t>
        </is>
      </c>
      <c r="C3" s="2" t="inlineStr">
        <is>
          <t>HOW TO USE</t>
        </is>
      </c>
    </row>
    <row r="4">
      <c r="A4" s="3" t="inlineStr">
        <is>
          <t>Income Tracker</t>
        </is>
      </c>
      <c r="B4" s="3" t="inlineStr">
        <is>
          <t>Record all service revenue</t>
        </is>
      </c>
      <c r="C4" s="3" t="inlineStr">
        <is>
          <t>Enter each payment received with service type and project details</t>
        </is>
      </c>
    </row>
    <row r="5">
      <c r="A5" s="3" t="inlineStr">
        <is>
          <t>Expense Tracker</t>
        </is>
      </c>
      <c r="B5" s="3" t="inlineStr">
        <is>
          <t>Track all business expenses</t>
        </is>
      </c>
      <c r="C5" s="3" t="inlineStr">
        <is>
          <t>Log every expense with category and payment details</t>
        </is>
      </c>
    </row>
    <row r="6">
      <c r="A6" s="3" t="inlineStr">
        <is>
          <t>Machines &amp; Equipment</t>
        </is>
      </c>
      <c r="B6" s="3" t="inlineStr">
        <is>
          <t>Asset register for all machines</t>
        </is>
      </c>
      <c r="C6" s="3" t="inlineStr">
        <is>
          <t>Add each machine with unique ID (M001, M002...)</t>
        </is>
      </c>
    </row>
    <row r="7">
      <c r="A7" s="3" t="inlineStr">
        <is>
          <t>Machine Maintenance</t>
        </is>
      </c>
      <c r="B7" s="3" t="inlineStr">
        <is>
          <t>Track repairs and servicing</t>
        </is>
      </c>
      <c r="C7" s="3" t="inlineStr">
        <is>
          <t>Log every repair/service against machine ID</t>
        </is>
      </c>
    </row>
    <row r="8">
      <c r="A8" s="3" t="inlineStr">
        <is>
          <t>Chemicals Stock</t>
        </is>
      </c>
      <c r="B8" s="3" t="inlineStr">
        <is>
          <t>Manage chemical inventory</t>
        </is>
      </c>
      <c r="C8" s="3" t="inlineStr">
        <is>
          <t>Update stock added and used regularly</t>
        </is>
      </c>
    </row>
    <row r="9">
      <c r="A9" s="3" t="inlineStr">
        <is>
          <t>Accessories Stock</t>
        </is>
      </c>
      <c r="B9" s="3" t="inlineStr">
        <is>
          <t>Track consumables inventory</t>
        </is>
      </c>
      <c r="C9" s="3" t="inlineStr">
        <is>
          <t>Update purchases and usage daily</t>
        </is>
      </c>
    </row>
    <row r="10">
      <c r="A10" s="3" t="inlineStr">
        <is>
          <t>Stock Transactions</t>
        </is>
      </c>
      <c r="B10" s="3" t="inlineStr">
        <is>
          <t>Detailed stock movement log</t>
        </is>
      </c>
      <c r="C10" s="3" t="inlineStr">
        <is>
          <t>Record every purchase/usage transaction</t>
        </is>
      </c>
    </row>
    <row r="11">
      <c r="A11" s="3" t="inlineStr">
        <is>
          <t>Income Summary</t>
        </is>
      </c>
      <c r="B11" s="3" t="inlineStr">
        <is>
          <t>Auto-calculated revenue reports</t>
        </is>
      </c>
      <c r="C11" s="3" t="inlineStr">
        <is>
          <t>View only - auto-updates from Income Tracker</t>
        </is>
      </c>
    </row>
    <row r="12">
      <c r="A12" s="3" t="inlineStr">
        <is>
          <t>Expense Summary</t>
        </is>
      </c>
      <c r="B12" s="3" t="inlineStr">
        <is>
          <t>Auto-calculated expense reports</t>
        </is>
      </c>
      <c r="C12" s="3" t="inlineStr">
        <is>
          <t>View only - auto-updates from Expense Tracker</t>
        </is>
      </c>
    </row>
    <row r="13">
      <c r="A13" s="3" t="inlineStr">
        <is>
          <t>Profitability Report</t>
        </is>
      </c>
      <c r="B13" s="3" t="inlineStr">
        <is>
          <t>Profit analysis</t>
        </is>
      </c>
      <c r="C13" s="3" t="inlineStr">
        <is>
          <t>View only - auto-calculates profit margins</t>
        </is>
      </c>
    </row>
    <row r="14">
      <c r="A14" s="3" t="inlineStr">
        <is>
          <t>Stock Reports</t>
        </is>
      </c>
      <c r="B14" s="3" t="inlineStr">
        <is>
          <t>Inventory status and alerts</t>
        </is>
      </c>
      <c r="C14" s="3" t="inlineStr">
        <is>
          <t>View only - shows low stock and asset values</t>
        </is>
      </c>
    </row>
    <row r="15">
      <c r="A15" t="inlineStr">
        <is>
          <t>Dashboard</t>
        </is>
      </c>
      <c r="B15" t="inlineStr">
        <is>
          <t>Visual overview with charts</t>
        </is>
      </c>
      <c r="C15" t="inlineStr">
        <is>
          <t>View only - key metrics at a glance</t>
        </is>
      </c>
    </row>
    <row r="16">
      <c r="A16" t="inlineStr"/>
    </row>
    <row r="17">
      <c r="A17" t="inlineStr">
        <is>
          <t>TIPS:</t>
        </is>
      </c>
      <c r="B17" t="inlineStr"/>
      <c r="C17" t="inlineStr"/>
    </row>
    <row r="18">
      <c r="A18" t="inlineStr">
        <is>
          <t>1. Use dropdowns for consistency</t>
        </is>
      </c>
      <c r="B18" t="inlineStr"/>
      <c r="C18" t="inlineStr"/>
    </row>
    <row r="19">
      <c r="A19" t="inlineStr">
        <is>
          <t>2. Enter data daily for accurate reports</t>
        </is>
      </c>
      <c r="B19" t="inlineStr"/>
      <c r="C19" t="inlineStr"/>
    </row>
    <row r="20">
      <c r="A20" t="inlineStr">
        <is>
          <t>3. Check Dashboard weekly for insights</t>
        </is>
      </c>
      <c r="B20" t="inlineStr"/>
      <c r="C20" t="inlineStr"/>
    </row>
    <row r="21">
      <c r="A21" t="inlineStr">
        <is>
          <t>4. Monitor Low Stock alerts regularly</t>
        </is>
      </c>
      <c r="B21" t="inlineStr"/>
      <c r="C21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  <col width="14" customWidth="1" min="5" max="5"/>
    <col width="22" customWidth="1" min="6" max="6"/>
    <col width="14" customWidth="1" style="4" min="7" max="7"/>
  </cols>
  <sheetData>
    <row r="1">
      <c r="A1" s="2" t="inlineStr">
        <is>
          <t>Date</t>
        </is>
      </c>
      <c r="B1" s="2" t="inlineStr">
        <is>
          <t>Invoice No</t>
        </is>
      </c>
      <c r="C1" s="2" t="inlineStr">
        <is>
          <t>Customer Name</t>
        </is>
      </c>
      <c r="D1" s="2" t="inlineStr">
        <is>
          <t>Service Type</t>
        </is>
      </c>
      <c r="E1" s="2" t="inlineStr">
        <is>
          <t>Project Type</t>
        </is>
      </c>
      <c r="F1" s="2" t="inlineStr">
        <is>
          <t>Project Name</t>
        </is>
      </c>
      <c r="G1" s="2" t="inlineStr">
        <is>
          <t>Amount (₹)</t>
        </is>
      </c>
      <c r="H1" s="2" t="inlineStr">
        <is>
          <t>Payment Mode</t>
        </is>
      </c>
      <c r="I1" s="2" t="inlineStr">
        <is>
          <t>Payment Status</t>
        </is>
      </c>
      <c r="J1" s="2" t="inlineStr">
        <is>
          <t>Notes</t>
        </is>
      </c>
    </row>
    <row r="2">
      <c r="A2" s="5" t="n">
        <v>45677</v>
      </c>
      <c r="B2" s="6" t="inlineStr">
        <is>
          <t>INV-2025-1001</t>
        </is>
      </c>
      <c r="C2" s="6" t="inlineStr">
        <is>
          <t>Rajesh Kumar</t>
        </is>
      </c>
      <c r="D2" s="6" t="inlineStr">
        <is>
          <t>AC Service</t>
        </is>
      </c>
      <c r="E2" s="6" t="inlineStr">
        <is>
          <t>Apartment Bulk</t>
        </is>
      </c>
      <c r="F2" s="6" t="inlineStr">
        <is>
          <t>Green Valley Apartments</t>
        </is>
      </c>
      <c r="G2" s="7" t="n">
        <v>136765</v>
      </c>
      <c r="H2" s="6" t="inlineStr">
        <is>
          <t>Cash</t>
        </is>
      </c>
      <c r="I2" s="6" t="inlineStr">
        <is>
          <t>Received</t>
        </is>
      </c>
      <c r="J2" s="6" t="inlineStr"/>
    </row>
    <row r="3">
      <c r="A3" s="8" t="n">
        <v>45680</v>
      </c>
      <c r="B3" s="3" t="inlineStr">
        <is>
          <t>INV-2025-1002</t>
        </is>
      </c>
      <c r="C3" s="3" t="inlineStr">
        <is>
          <t>Priya Sharma</t>
        </is>
      </c>
      <c r="D3" s="3" t="inlineStr">
        <is>
          <t>Deep Cleaning</t>
        </is>
      </c>
      <c r="E3" s="3" t="inlineStr">
        <is>
          <t>Individual</t>
        </is>
      </c>
      <c r="F3" s="3" t="inlineStr"/>
      <c r="G3" s="9" t="n">
        <v>10841</v>
      </c>
      <c r="H3" s="3" t="inlineStr">
        <is>
          <t>Cash</t>
        </is>
      </c>
      <c r="I3" s="3" t="inlineStr">
        <is>
          <t>Received</t>
        </is>
      </c>
      <c r="J3" s="3" t="inlineStr"/>
    </row>
    <row r="4">
      <c r="A4" s="5" t="n">
        <v>45675</v>
      </c>
      <c r="B4" s="6" t="inlineStr">
        <is>
          <t>INV-2025-1003</t>
        </is>
      </c>
      <c r="C4" s="6" t="inlineStr">
        <is>
          <t>Amit Patel</t>
        </is>
      </c>
      <c r="D4" s="6" t="inlineStr">
        <is>
          <t>Regular Cleaning</t>
        </is>
      </c>
      <c r="E4" s="6" t="inlineStr">
        <is>
          <t>Commercial</t>
        </is>
      </c>
      <c r="F4" s="6" t="inlineStr">
        <is>
          <t>Tech Park</t>
        </is>
      </c>
      <c r="G4" s="7" t="n">
        <v>129748</v>
      </c>
      <c r="H4" s="6" t="inlineStr">
        <is>
          <t>Cash</t>
        </is>
      </c>
      <c r="I4" s="6" t="inlineStr">
        <is>
          <t>Pending</t>
        </is>
      </c>
      <c r="J4" s="6" t="inlineStr"/>
    </row>
    <row r="5">
      <c r="A5" s="8" t="n">
        <v>45684</v>
      </c>
      <c r="B5" s="3" t="inlineStr">
        <is>
          <t>INV-2025-1004</t>
        </is>
      </c>
      <c r="C5" s="3" t="inlineStr">
        <is>
          <t>Sunita Reddy</t>
        </is>
      </c>
      <c r="D5" s="3" t="inlineStr">
        <is>
          <t>Pest Control</t>
        </is>
      </c>
      <c r="E5" s="3" t="inlineStr">
        <is>
          <t>Commercial</t>
        </is>
      </c>
      <c r="F5" s="3" t="inlineStr">
        <is>
          <t>Tech Park</t>
        </is>
      </c>
      <c r="G5" s="9" t="n">
        <v>53183</v>
      </c>
      <c r="H5" s="3" t="inlineStr">
        <is>
          <t>Cash</t>
        </is>
      </c>
      <c r="I5" s="3" t="inlineStr">
        <is>
          <t>Pending</t>
        </is>
      </c>
      <c r="J5" s="3" t="inlineStr"/>
    </row>
    <row r="6">
      <c r="A6" s="5" t="n">
        <v>45680</v>
      </c>
      <c r="B6" s="6" t="inlineStr">
        <is>
          <t>INV-2025-1005</t>
        </is>
      </c>
      <c r="C6" s="6" t="inlineStr">
        <is>
          <t>Vikram Singh</t>
        </is>
      </c>
      <c r="D6" s="6" t="inlineStr">
        <is>
          <t>Carpentry</t>
        </is>
      </c>
      <c r="E6" s="6" t="inlineStr">
        <is>
          <t>Individual</t>
        </is>
      </c>
      <c r="F6" s="6" t="inlineStr"/>
      <c r="G6" s="7" t="n">
        <v>23046</v>
      </c>
      <c r="H6" s="6" t="inlineStr">
        <is>
          <t>Cash</t>
        </is>
      </c>
      <c r="I6" s="6" t="inlineStr">
        <is>
          <t>Pending</t>
        </is>
      </c>
      <c r="J6" s="6" t="inlineStr"/>
    </row>
    <row r="7">
      <c r="A7" s="8" t="n">
        <v>45674</v>
      </c>
      <c r="B7" s="3" t="inlineStr">
        <is>
          <t>INV-2025-1006</t>
        </is>
      </c>
      <c r="C7" s="3" t="inlineStr">
        <is>
          <t>Deepa Nair</t>
        </is>
      </c>
      <c r="D7" s="3" t="inlineStr">
        <is>
          <t>Regular Cleaning</t>
        </is>
      </c>
      <c r="E7" s="3" t="inlineStr">
        <is>
          <t>Individual</t>
        </is>
      </c>
      <c r="F7" s="3" t="inlineStr"/>
      <c r="G7" s="9" t="n">
        <v>3713</v>
      </c>
      <c r="H7" s="3" t="inlineStr">
        <is>
          <t>Card</t>
        </is>
      </c>
      <c r="I7" s="3" t="inlineStr">
        <is>
          <t>Received</t>
        </is>
      </c>
      <c r="J7" s="3" t="inlineStr"/>
    </row>
    <row r="8">
      <c r="A8" s="5" t="n">
        <v>45677</v>
      </c>
      <c r="B8" s="6" t="inlineStr">
        <is>
          <t>INV-2025-1007</t>
        </is>
      </c>
      <c r="C8" s="6" t="inlineStr">
        <is>
          <t>Karthik Iyer</t>
        </is>
      </c>
      <c r="D8" s="6" t="inlineStr">
        <is>
          <t>Carpentry</t>
        </is>
      </c>
      <c r="E8" s="6" t="inlineStr">
        <is>
          <t>Commercial</t>
        </is>
      </c>
      <c r="F8" s="6" t="inlineStr">
        <is>
          <t>Tech Park</t>
        </is>
      </c>
      <c r="G8" s="7" t="n">
        <v>199740</v>
      </c>
      <c r="H8" s="6" t="inlineStr">
        <is>
          <t>Bank Transfer</t>
        </is>
      </c>
      <c r="I8" s="6" t="inlineStr">
        <is>
          <t>Pending</t>
        </is>
      </c>
      <c r="J8" s="6" t="inlineStr"/>
    </row>
    <row r="9">
      <c r="A9" s="8" t="n">
        <v>45675</v>
      </c>
      <c r="B9" s="3" t="inlineStr">
        <is>
          <t>INV-2025-1008</t>
        </is>
      </c>
      <c r="C9" s="3" t="inlineStr">
        <is>
          <t>Meena Gupta</t>
        </is>
      </c>
      <c r="D9" s="3" t="inlineStr">
        <is>
          <t>Deep Cleaning</t>
        </is>
      </c>
      <c r="E9" s="3" t="inlineStr">
        <is>
          <t>Apartment Bulk</t>
        </is>
      </c>
      <c r="F9" s="3" t="inlineStr">
        <is>
          <t>Green Valley Apartments</t>
        </is>
      </c>
      <c r="G9" s="9" t="n">
        <v>79680</v>
      </c>
      <c r="H9" s="3" t="inlineStr">
        <is>
          <t>UPI</t>
        </is>
      </c>
      <c r="I9" s="3" t="inlineStr">
        <is>
          <t>Pending</t>
        </is>
      </c>
      <c r="J9" s="3" t="inlineStr"/>
    </row>
    <row r="10">
      <c r="A10" s="5" t="n">
        <v>45675</v>
      </c>
      <c r="B10" s="6" t="inlineStr">
        <is>
          <t>INV-2025-1009</t>
        </is>
      </c>
      <c r="C10" s="6" t="inlineStr">
        <is>
          <t>Rahul Verma</t>
        </is>
      </c>
      <c r="D10" s="6" t="inlineStr">
        <is>
          <t>Regular Cleaning</t>
        </is>
      </c>
      <c r="E10" s="6" t="inlineStr">
        <is>
          <t>Individual</t>
        </is>
      </c>
      <c r="F10" s="6" t="inlineStr"/>
      <c r="G10" s="7" t="n">
        <v>5952</v>
      </c>
      <c r="H10" s="6" t="inlineStr">
        <is>
          <t>Bank Transfer</t>
        </is>
      </c>
      <c r="I10" s="6" t="inlineStr">
        <is>
          <t>Pending</t>
        </is>
      </c>
      <c r="J10" s="6" t="inlineStr"/>
    </row>
    <row r="11">
      <c r="A11" s="8" t="n">
        <v>45664</v>
      </c>
      <c r="B11" s="3" t="inlineStr">
        <is>
          <t>INV-2025-1010</t>
        </is>
      </c>
      <c r="C11" s="3" t="inlineStr">
        <is>
          <t>Anjali Menon</t>
        </is>
      </c>
      <c r="D11" s="3" t="inlineStr">
        <is>
          <t>Painting</t>
        </is>
      </c>
      <c r="E11" s="3" t="inlineStr">
        <is>
          <t>Commercial</t>
        </is>
      </c>
      <c r="F11" s="3" t="inlineStr">
        <is>
          <t>Tech Park</t>
        </is>
      </c>
      <c r="G11" s="9" t="n">
        <v>114172</v>
      </c>
      <c r="H11" s="3" t="inlineStr">
        <is>
          <t>Card</t>
        </is>
      </c>
      <c r="I11" s="3" t="inlineStr">
        <is>
          <t>Pending</t>
        </is>
      </c>
      <c r="J11" s="3" t="inlineStr"/>
    </row>
    <row r="12">
      <c r="A12" s="5" t="n">
        <v>45676</v>
      </c>
      <c r="B12" s="6" t="inlineStr">
        <is>
          <t>INV-2025-1011</t>
        </is>
      </c>
      <c r="C12" s="6" t="inlineStr">
        <is>
          <t>Suresh Rao</t>
        </is>
      </c>
      <c r="D12" s="6" t="inlineStr">
        <is>
          <t>Painting</t>
        </is>
      </c>
      <c r="E12" s="6" t="inlineStr">
        <is>
          <t>Individual</t>
        </is>
      </c>
      <c r="F12" s="6" t="inlineStr"/>
      <c r="G12" s="7" t="n">
        <v>7290</v>
      </c>
      <c r="H12" s="6" t="inlineStr">
        <is>
          <t>Cash</t>
        </is>
      </c>
      <c r="I12" s="6" t="inlineStr">
        <is>
          <t>Received</t>
        </is>
      </c>
      <c r="J12" s="6" t="inlineStr"/>
    </row>
    <row r="13">
      <c r="A13" s="8" t="n">
        <v>45678</v>
      </c>
      <c r="B13" s="3" t="inlineStr">
        <is>
          <t>INV-2025-1012</t>
        </is>
      </c>
      <c r="C13" s="3" t="inlineStr">
        <is>
          <t>Lakshmi Pillai</t>
        </is>
      </c>
      <c r="D13" s="3" t="inlineStr">
        <is>
          <t>Painting</t>
        </is>
      </c>
      <c r="E13" s="3" t="inlineStr">
        <is>
          <t>Individual</t>
        </is>
      </c>
      <c r="F13" s="3" t="inlineStr"/>
      <c r="G13" s="9" t="n">
        <v>13452</v>
      </c>
      <c r="H13" s="3" t="inlineStr">
        <is>
          <t>Cash</t>
        </is>
      </c>
      <c r="I13" s="3" t="inlineStr">
        <is>
          <t>Pending</t>
        </is>
      </c>
      <c r="J13" s="3" t="inlineStr"/>
    </row>
    <row r="14">
      <c r="A14" s="5" t="n">
        <v>45681</v>
      </c>
      <c r="B14" s="6" t="inlineStr">
        <is>
          <t>INV-2025-1013</t>
        </is>
      </c>
      <c r="C14" s="6" t="inlineStr">
        <is>
          <t>Arun Krishnan</t>
        </is>
      </c>
      <c r="D14" s="6" t="inlineStr">
        <is>
          <t>Regular Cleaning</t>
        </is>
      </c>
      <c r="E14" s="6" t="inlineStr">
        <is>
          <t>Individual</t>
        </is>
      </c>
      <c r="F14" s="6" t="inlineStr"/>
      <c r="G14" s="7" t="n">
        <v>16149</v>
      </c>
      <c r="H14" s="6" t="inlineStr">
        <is>
          <t>Card</t>
        </is>
      </c>
      <c r="I14" s="6" t="inlineStr">
        <is>
          <t>Received</t>
        </is>
      </c>
      <c r="J14" s="6" t="inlineStr"/>
    </row>
    <row r="15">
      <c r="A15" s="8" t="n">
        <v>45674</v>
      </c>
      <c r="B15" s="3" t="inlineStr">
        <is>
          <t>INV-2025-1014</t>
        </is>
      </c>
      <c r="C15" s="3" t="inlineStr">
        <is>
          <t>Kavitha Srinivasan</t>
        </is>
      </c>
      <c r="D15" s="3" t="inlineStr">
        <is>
          <t>Painting</t>
        </is>
      </c>
      <c r="E15" s="3" t="inlineStr">
        <is>
          <t>Commercial</t>
        </is>
      </c>
      <c r="F15" s="3" t="inlineStr">
        <is>
          <t>Tech Park</t>
        </is>
      </c>
      <c r="G15" s="9" t="n">
        <v>51666</v>
      </c>
      <c r="H15" s="3" t="inlineStr">
        <is>
          <t>Card</t>
        </is>
      </c>
      <c r="I15" s="3" t="inlineStr">
        <is>
          <t>Pending</t>
        </is>
      </c>
      <c r="J15" s="3" t="inlineStr"/>
    </row>
    <row r="16">
      <c r="A16" s="5" t="n">
        <v>45682</v>
      </c>
      <c r="B16" s="6" t="inlineStr">
        <is>
          <t>INV-2025-1015</t>
        </is>
      </c>
      <c r="C16" s="6" t="inlineStr">
        <is>
          <t>Manoj Das</t>
        </is>
      </c>
      <c r="D16" s="6" t="inlineStr">
        <is>
          <t>Electrical</t>
        </is>
      </c>
      <c r="E16" s="6" t="inlineStr">
        <is>
          <t>Individual</t>
        </is>
      </c>
      <c r="F16" s="6" t="inlineStr"/>
      <c r="G16" s="7" t="n">
        <v>12583</v>
      </c>
      <c r="H16" s="6" t="inlineStr">
        <is>
          <t>Cash</t>
        </is>
      </c>
      <c r="I16" s="6" t="inlineStr">
        <is>
          <t>Received</t>
        </is>
      </c>
      <c r="J16" s="6" t="inlineStr"/>
    </row>
  </sheetData>
  <dataValidations count="4">
    <dataValidation sqref="D2:D1000" showDropDown="0" showInputMessage="0" showErrorMessage="0" allowBlank="1" type="list">
      <formula1>"Deep Cleaning,Regular Cleaning,Pest Control,Painting,Plumbing,Electrical,Carpentry,AC Service"</formula1>
    </dataValidation>
    <dataValidation sqref="E2:E1000" showDropDown="0" showInputMessage="0" showErrorMessage="0" allowBlank="1" type="list">
      <formula1>"Individual,Apartment Bulk,Commercial"</formula1>
    </dataValidation>
    <dataValidation sqref="H2:H1000" showDropDown="0" showInputMessage="0" showErrorMessage="0" allowBlank="1" type="list">
      <formula1>"Cash,UPI,Bank Transfer,Card"</formula1>
    </dataValidation>
    <dataValidation sqref="I2:I1000" showDropDown="0" showInputMessage="0" showErrorMessage="0" allowBlank="1" type="list">
      <formula1>"Received,Pending"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Date</t>
        </is>
      </c>
      <c r="B1" s="2" t="inlineStr">
        <is>
          <t>Expense ID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Vendor/Payee</t>
        </is>
      </c>
      <c r="F1" s="2" t="inlineStr">
        <is>
          <t>Amount (₹)</t>
        </is>
      </c>
      <c r="G1" s="2" t="inlineStr">
        <is>
          <t>Payment Mode</t>
        </is>
      </c>
      <c r="H1" s="2" t="inlineStr">
        <is>
          <t>Payment Status</t>
        </is>
      </c>
      <c r="I1" s="2" t="inlineStr">
        <is>
          <t>Notes</t>
        </is>
      </c>
    </row>
    <row r="2">
      <c r="A2" s="5" t="n">
        <v>45659</v>
      </c>
      <c r="B2" s="6" t="inlineStr">
        <is>
          <t>EXP-2025-101</t>
        </is>
      </c>
      <c r="C2" s="6" t="inlineStr">
        <is>
          <t>Office Expenses</t>
        </is>
      </c>
      <c r="D2" s="6" t="inlineStr">
        <is>
          <t>Misc Purchase</t>
        </is>
      </c>
      <c r="E2" s="6" t="inlineStr">
        <is>
          <t>Security Agency</t>
        </is>
      </c>
      <c r="F2" s="7" t="n">
        <v>3532</v>
      </c>
      <c r="G2" s="6" t="inlineStr">
        <is>
          <t>UPI</t>
        </is>
      </c>
      <c r="H2" s="6" t="inlineStr">
        <is>
          <t>Pending</t>
        </is>
      </c>
      <c r="I2" s="6" t="inlineStr"/>
    </row>
    <row r="3">
      <c r="A3" s="8" t="n">
        <v>45681</v>
      </c>
      <c r="B3" s="3" t="inlineStr">
        <is>
          <t>EXP-2025-102</t>
        </is>
      </c>
      <c r="C3" s="3" t="inlineStr">
        <is>
          <t>Vendor Payment</t>
        </is>
      </c>
      <c r="D3" s="3" t="inlineStr">
        <is>
          <t>Office Supplies</t>
        </is>
      </c>
      <c r="E3" s="3" t="inlineStr">
        <is>
          <t>Suresh (Technician)</t>
        </is>
      </c>
      <c r="F3" s="9" t="n">
        <v>3497</v>
      </c>
      <c r="G3" s="3" t="inlineStr">
        <is>
          <t>Bank Transfer</t>
        </is>
      </c>
      <c r="H3" s="3" t="inlineStr">
        <is>
          <t>Pending</t>
        </is>
      </c>
      <c r="I3" s="3" t="inlineStr"/>
    </row>
    <row r="4">
      <c r="A4" s="5" t="n">
        <v>45660</v>
      </c>
      <c r="B4" s="6" t="inlineStr">
        <is>
          <t>EXP-2025-103</t>
        </is>
      </c>
      <c r="C4" s="6" t="inlineStr">
        <is>
          <t>Office Expenses</t>
        </is>
      </c>
      <c r="D4" s="6" t="inlineStr">
        <is>
          <t>Misc Purchase</t>
        </is>
      </c>
      <c r="E4" s="6" t="inlineStr">
        <is>
          <t>Facebook Ads</t>
        </is>
      </c>
      <c r="F4" s="7" t="n">
        <v>2425</v>
      </c>
      <c r="G4" s="6" t="inlineStr">
        <is>
          <t>UPI</t>
        </is>
      </c>
      <c r="H4" s="6" t="inlineStr">
        <is>
          <t>Received</t>
        </is>
      </c>
      <c r="I4" s="6" t="inlineStr"/>
    </row>
    <row r="5">
      <c r="A5" s="8" t="n">
        <v>45685</v>
      </c>
      <c r="B5" s="3" t="inlineStr">
        <is>
          <t>EXP-2025-104</t>
        </is>
      </c>
      <c r="C5" s="3" t="inlineStr">
        <is>
          <t>Vendor Payment</t>
        </is>
      </c>
      <c r="D5" s="3" t="inlineStr">
        <is>
          <t>Office Supplies</t>
        </is>
      </c>
      <c r="E5" s="3" t="inlineStr">
        <is>
          <t>City Fuel Station</t>
        </is>
      </c>
      <c r="F5" s="9" t="n">
        <v>3956</v>
      </c>
      <c r="G5" s="3" t="inlineStr">
        <is>
          <t>Cash</t>
        </is>
      </c>
      <c r="H5" s="3" t="inlineStr">
        <is>
          <t>Pending</t>
        </is>
      </c>
      <c r="I5" s="3" t="inlineStr"/>
    </row>
    <row r="6">
      <c r="A6" s="5" t="n">
        <v>45672</v>
      </c>
      <c r="B6" s="6" t="inlineStr">
        <is>
          <t>EXP-2025-105</t>
        </is>
      </c>
      <c r="C6" s="6" t="inlineStr">
        <is>
          <t>Miscellaneous</t>
        </is>
      </c>
      <c r="D6" s="6" t="inlineStr">
        <is>
          <t>Misc Purchase</t>
        </is>
      </c>
      <c r="E6" s="6" t="inlineStr">
        <is>
          <t>Electricity Board</t>
        </is>
      </c>
      <c r="F6" s="7" t="n">
        <v>2452</v>
      </c>
      <c r="G6" s="6" t="inlineStr">
        <is>
          <t>Bank Transfer</t>
        </is>
      </c>
      <c r="H6" s="6" t="inlineStr">
        <is>
          <t>Pending</t>
        </is>
      </c>
      <c r="I6" s="6" t="inlineStr"/>
    </row>
    <row r="7">
      <c r="A7" s="8" t="n">
        <v>45676</v>
      </c>
      <c r="B7" s="3" t="inlineStr">
        <is>
          <t>EXP-2025-106</t>
        </is>
      </c>
      <c r="C7" s="3" t="inlineStr">
        <is>
          <t>Staff Salary</t>
        </is>
      </c>
      <c r="D7" s="3" t="inlineStr">
        <is>
          <t>Salary - Driver</t>
        </is>
      </c>
      <c r="E7" s="3" t="inlineStr">
        <is>
          <t>Kumar</t>
        </is>
      </c>
      <c r="F7" s="9" t="n">
        <v>25522</v>
      </c>
      <c r="G7" s="3" t="inlineStr">
        <is>
          <t>UPI</t>
        </is>
      </c>
      <c r="H7" s="3" t="inlineStr">
        <is>
          <t>Pending</t>
        </is>
      </c>
      <c r="I7" s="3" t="inlineStr"/>
    </row>
    <row r="8">
      <c r="A8" s="5" t="n">
        <v>45679</v>
      </c>
      <c r="B8" s="6" t="inlineStr">
        <is>
          <t>EXP-2025-107</t>
        </is>
      </c>
      <c r="C8" s="6" t="inlineStr">
        <is>
          <t>Marketing</t>
        </is>
      </c>
      <c r="D8" s="6" t="inlineStr">
        <is>
          <t>Facebook Ads</t>
        </is>
      </c>
      <c r="E8" s="6" t="inlineStr">
        <is>
          <t>Facebook Ads</t>
        </is>
      </c>
      <c r="F8" s="7" t="n">
        <v>8956</v>
      </c>
      <c r="G8" s="6" t="inlineStr">
        <is>
          <t>UPI</t>
        </is>
      </c>
      <c r="H8" s="6" t="inlineStr">
        <is>
          <t>Received</t>
        </is>
      </c>
      <c r="I8" s="6" t="inlineStr"/>
    </row>
    <row r="9">
      <c r="A9" s="8" t="n">
        <v>45674</v>
      </c>
      <c r="B9" s="3" t="inlineStr">
        <is>
          <t>EXP-2025-108</t>
        </is>
      </c>
      <c r="C9" s="3" t="inlineStr">
        <is>
          <t>Office Expenses</t>
        </is>
      </c>
      <c r="D9" s="3" t="inlineStr">
        <is>
          <t>Misc Purchase</t>
        </is>
      </c>
      <c r="E9" s="3" t="inlineStr">
        <is>
          <t>Office Depot</t>
        </is>
      </c>
      <c r="F9" s="9" t="n">
        <v>962</v>
      </c>
      <c r="G9" s="3" t="inlineStr">
        <is>
          <t>Card</t>
        </is>
      </c>
      <c r="H9" s="3" t="inlineStr">
        <is>
          <t>Pending</t>
        </is>
      </c>
      <c r="I9" s="3" t="inlineStr"/>
    </row>
    <row r="10">
      <c r="A10" s="5" t="n">
        <v>45680</v>
      </c>
      <c r="B10" s="6" t="inlineStr">
        <is>
          <t>EXP-2025-109</t>
        </is>
      </c>
      <c r="C10" s="6" t="inlineStr">
        <is>
          <t>Office Expenses</t>
        </is>
      </c>
      <c r="D10" s="6" t="inlineStr">
        <is>
          <t>Office Supplies</t>
        </is>
      </c>
      <c r="E10" s="6" t="inlineStr">
        <is>
          <t>City Fuel Station</t>
        </is>
      </c>
      <c r="F10" s="7" t="n">
        <v>3115</v>
      </c>
      <c r="G10" s="6" t="inlineStr">
        <is>
          <t>Card</t>
        </is>
      </c>
      <c r="H10" s="6" t="inlineStr">
        <is>
          <t>Pending</t>
        </is>
      </c>
      <c r="I10" s="6" t="inlineStr"/>
    </row>
    <row r="11">
      <c r="A11" s="8" t="n">
        <v>45670</v>
      </c>
      <c r="B11" s="3" t="inlineStr">
        <is>
          <t>EXP-2025-110</t>
        </is>
      </c>
      <c r="C11" s="3" t="inlineStr">
        <is>
          <t>Travel &amp; Fuel</t>
        </is>
      </c>
      <c r="D11" s="3" t="inlineStr">
        <is>
          <t>Petrol/Diesel</t>
        </is>
      </c>
      <c r="E11" s="3" t="inlineStr">
        <is>
          <t>City Fuel Station</t>
        </is>
      </c>
      <c r="F11" s="9" t="n">
        <v>2987</v>
      </c>
      <c r="G11" s="3" t="inlineStr">
        <is>
          <t>Bank Transfer</t>
        </is>
      </c>
      <c r="H11" s="3" t="inlineStr">
        <is>
          <t>Pending</t>
        </is>
      </c>
      <c r="I11" s="3" t="inlineStr"/>
    </row>
    <row r="12">
      <c r="A12" s="5" t="n">
        <v>45663</v>
      </c>
      <c r="B12" s="6" t="inlineStr">
        <is>
          <t>EXP-2025-111</t>
        </is>
      </c>
      <c r="C12" s="6" t="inlineStr">
        <is>
          <t>Marketing</t>
        </is>
      </c>
      <c r="D12" s="6" t="inlineStr">
        <is>
          <t>Google Ads</t>
        </is>
      </c>
      <c r="E12" s="6" t="inlineStr">
        <is>
          <t>Google Ads</t>
        </is>
      </c>
      <c r="F12" s="7" t="n">
        <v>2220</v>
      </c>
      <c r="G12" s="6" t="inlineStr">
        <is>
          <t>Card</t>
        </is>
      </c>
      <c r="H12" s="6" t="inlineStr">
        <is>
          <t>Received</t>
        </is>
      </c>
      <c r="I12" s="6" t="inlineStr"/>
    </row>
    <row r="13">
      <c r="A13" s="8" t="n">
        <v>45665</v>
      </c>
      <c r="B13" s="3" t="inlineStr">
        <is>
          <t>EXP-2025-112</t>
        </is>
      </c>
      <c r="C13" s="3" t="inlineStr">
        <is>
          <t>Travel &amp; Fuel</t>
        </is>
      </c>
      <c r="D13" s="3" t="inlineStr">
        <is>
          <t>Petrol/Diesel</t>
        </is>
      </c>
      <c r="E13" s="3" t="inlineStr">
        <is>
          <t>City Fuel Station</t>
        </is>
      </c>
      <c r="F13" s="9" t="n">
        <v>1785</v>
      </c>
      <c r="G13" s="3" t="inlineStr">
        <is>
          <t>UPI</t>
        </is>
      </c>
      <c r="H13" s="3" t="inlineStr">
        <is>
          <t>Received</t>
        </is>
      </c>
      <c r="I13" s="3" t="inlineStr"/>
    </row>
    <row r="14">
      <c r="A14" s="5" t="n">
        <v>45677</v>
      </c>
      <c r="B14" s="6" t="inlineStr">
        <is>
          <t>EXP-2025-113</t>
        </is>
      </c>
      <c r="C14" s="6" t="inlineStr">
        <is>
          <t>Staff Salary</t>
        </is>
      </c>
      <c r="D14" s="6" t="inlineStr">
        <is>
          <t>Salary - Technician</t>
        </is>
      </c>
      <c r="E14" s="6" t="inlineStr">
        <is>
          <t>Suresh</t>
        </is>
      </c>
      <c r="F14" s="7" t="n">
        <v>33300</v>
      </c>
      <c r="G14" s="6" t="inlineStr">
        <is>
          <t>UPI</t>
        </is>
      </c>
      <c r="H14" s="6" t="inlineStr">
        <is>
          <t>Pending</t>
        </is>
      </c>
      <c r="I14" s="6" t="inlineStr"/>
    </row>
    <row r="15">
      <c r="A15" s="8" t="n">
        <v>45678</v>
      </c>
      <c r="B15" s="3" t="inlineStr">
        <is>
          <t>EXP-2025-114</t>
        </is>
      </c>
      <c r="C15" s="3" t="inlineStr">
        <is>
          <t>Staff Salary</t>
        </is>
      </c>
      <c r="D15" s="3" t="inlineStr">
        <is>
          <t>Salary - Driver</t>
        </is>
      </c>
      <c r="E15" s="3" t="inlineStr">
        <is>
          <t>Kumar</t>
        </is>
      </c>
      <c r="F15" s="9" t="n">
        <v>17310</v>
      </c>
      <c r="G15" s="3" t="inlineStr">
        <is>
          <t>Cash</t>
        </is>
      </c>
      <c r="H15" s="3" t="inlineStr">
        <is>
          <t>Received</t>
        </is>
      </c>
      <c r="I15" s="3" t="inlineStr"/>
    </row>
    <row r="16">
      <c r="A16" s="5" t="n">
        <v>45685</v>
      </c>
      <c r="B16" s="6" t="inlineStr">
        <is>
          <t>EXP-2025-115</t>
        </is>
      </c>
      <c r="C16" s="6" t="inlineStr">
        <is>
          <t>Travel &amp; Fuel</t>
        </is>
      </c>
      <c r="D16" s="6" t="inlineStr">
        <is>
          <t>Petrol/Diesel</t>
        </is>
      </c>
      <c r="E16" s="6" t="inlineStr">
        <is>
          <t>City Fuel Station</t>
        </is>
      </c>
      <c r="F16" s="7" t="n">
        <v>1241</v>
      </c>
      <c r="G16" s="6" t="inlineStr">
        <is>
          <t>UPI</t>
        </is>
      </c>
      <c r="H16" s="6" t="inlineStr">
        <is>
          <t>Received</t>
        </is>
      </c>
      <c r="I16" s="6" t="inlineStr"/>
    </row>
    <row r="17">
      <c r="A17" s="8" t="n">
        <v>45685</v>
      </c>
      <c r="B17" s="3" t="inlineStr">
        <is>
          <t>EXP-2025-116</t>
        </is>
      </c>
      <c r="C17" s="3" t="inlineStr">
        <is>
          <t>Travel &amp; Fuel</t>
        </is>
      </c>
      <c r="D17" s="3" t="inlineStr">
        <is>
          <t>Petrol/Diesel</t>
        </is>
      </c>
      <c r="E17" s="3" t="inlineStr">
        <is>
          <t>City Fuel Station</t>
        </is>
      </c>
      <c r="F17" s="9" t="n">
        <v>966</v>
      </c>
      <c r="G17" s="3" t="inlineStr">
        <is>
          <t>Card</t>
        </is>
      </c>
      <c r="H17" s="3" t="inlineStr">
        <is>
          <t>Pending</t>
        </is>
      </c>
      <c r="I17" s="3" t="inlineStr"/>
    </row>
    <row r="18">
      <c r="A18" s="5" t="n">
        <v>45673</v>
      </c>
      <c r="B18" s="6" t="inlineStr">
        <is>
          <t>EXP-2025-117</t>
        </is>
      </c>
      <c r="C18" s="6" t="inlineStr">
        <is>
          <t>Vendor Payment</t>
        </is>
      </c>
      <c r="D18" s="6" t="inlineStr">
        <is>
          <t>Office Supplies</t>
        </is>
      </c>
      <c r="E18" s="6" t="inlineStr">
        <is>
          <t>Electricity Board</t>
        </is>
      </c>
      <c r="F18" s="7" t="n">
        <v>4639</v>
      </c>
      <c r="G18" s="6" t="inlineStr">
        <is>
          <t>UPI</t>
        </is>
      </c>
      <c r="H18" s="6" t="inlineStr">
        <is>
          <t>Pending</t>
        </is>
      </c>
      <c r="I18" s="6" t="inlineStr"/>
    </row>
    <row r="19">
      <c r="A19" s="8" t="n">
        <v>45664</v>
      </c>
      <c r="B19" s="3" t="inlineStr">
        <is>
          <t>EXP-2025-118</t>
        </is>
      </c>
      <c r="C19" s="3" t="inlineStr">
        <is>
          <t>Staff Salary</t>
        </is>
      </c>
      <c r="D19" s="3" t="inlineStr">
        <is>
          <t>Salary - Driver</t>
        </is>
      </c>
      <c r="E19" s="3" t="inlineStr">
        <is>
          <t>Ramesh</t>
        </is>
      </c>
      <c r="F19" s="9" t="n">
        <v>20427</v>
      </c>
      <c r="G19" s="3" t="inlineStr">
        <is>
          <t>Cash</t>
        </is>
      </c>
      <c r="H19" s="3" t="inlineStr">
        <is>
          <t>Pending</t>
        </is>
      </c>
      <c r="I19" s="3" t="inlineStr"/>
    </row>
    <row r="20">
      <c r="A20" s="5" t="n">
        <v>45669</v>
      </c>
      <c r="B20" s="6" t="inlineStr">
        <is>
          <t>EXP-2025-119</t>
        </is>
      </c>
      <c r="C20" s="6" t="inlineStr">
        <is>
          <t>Miscellaneous</t>
        </is>
      </c>
      <c r="D20" s="6" t="inlineStr">
        <is>
          <t>Utility Bill</t>
        </is>
      </c>
      <c r="E20" s="6" t="inlineStr">
        <is>
          <t>Ramesh (Driver)</t>
        </is>
      </c>
      <c r="F20" s="7" t="n">
        <v>2629</v>
      </c>
      <c r="G20" s="6" t="inlineStr">
        <is>
          <t>Cash</t>
        </is>
      </c>
      <c r="H20" s="6" t="inlineStr">
        <is>
          <t>Pending</t>
        </is>
      </c>
      <c r="I20" s="6" t="inlineStr"/>
    </row>
    <row r="21">
      <c r="A21" s="8" t="n">
        <v>45683</v>
      </c>
      <c r="B21" s="3" t="inlineStr">
        <is>
          <t>EXP-2025-120</t>
        </is>
      </c>
      <c r="C21" s="3" t="inlineStr">
        <is>
          <t>Marketing</t>
        </is>
      </c>
      <c r="D21" s="3" t="inlineStr">
        <is>
          <t>Facebook Ads</t>
        </is>
      </c>
      <c r="E21" s="3" t="inlineStr">
        <is>
          <t>Facebook Ads</t>
        </is>
      </c>
      <c r="F21" s="9" t="n">
        <v>14998</v>
      </c>
      <c r="G21" s="3" t="inlineStr">
        <is>
          <t>Card</t>
        </is>
      </c>
      <c r="H21" s="3" t="inlineStr">
        <is>
          <t>Received</t>
        </is>
      </c>
      <c r="I21" s="3" t="inlineStr"/>
    </row>
  </sheetData>
  <dataValidations count="3">
    <dataValidation sqref="C2:C1000" showDropDown="0" showInputMessage="0" showErrorMessage="0" allowBlank="1" type="list">
      <formula1>"Staff Salary,Vendor Payment,Travel &amp; Fuel,Marketing,Office Expenses,Miscellaneous"</formula1>
    </dataValidation>
    <dataValidation sqref="H2:H1000" showDropDown="0" showInputMessage="0" showErrorMessage="0" allowBlank="1" type="list">
      <formula1>"Cash,UPI,Bank Transfer,Card"</formula1>
    </dataValidation>
    <dataValidation sqref="I2:I1000" showDropDown="0" showInputMessage="0" showErrorMessage="0" allowBlank="1" type="list">
      <formula1>"Received,Pending"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Machine ID</t>
        </is>
      </c>
      <c r="B1" s="2" t="inlineStr">
        <is>
          <t>Machine Name</t>
        </is>
      </c>
      <c r="C1" s="2" t="inlineStr">
        <is>
          <t>Model</t>
        </is>
      </c>
      <c r="D1" s="2" t="inlineStr">
        <is>
          <t>Category</t>
        </is>
      </c>
      <c r="E1" s="2" t="inlineStr">
        <is>
          <t>Purchase Date</t>
        </is>
      </c>
      <c r="F1" s="2" t="inlineStr">
        <is>
          <t>Purchase Cost (₹)</t>
        </is>
      </c>
      <c r="G1" s="2" t="inlineStr">
        <is>
          <t>Current Status</t>
        </is>
      </c>
      <c r="H1" s="2" t="inlineStr">
        <is>
          <t>Location/Assigned To</t>
        </is>
      </c>
      <c r="I1" s="2" t="inlineStr">
        <is>
          <t>Notes</t>
        </is>
      </c>
    </row>
    <row r="2">
      <c r="A2" s="6" t="inlineStr">
        <is>
          <t>M001</t>
        </is>
      </c>
      <c r="B2" s="6" t="inlineStr">
        <is>
          <t>Floor Scrubber</t>
        </is>
      </c>
      <c r="C2" s="6" t="inlineStr">
        <is>
          <t>Karcher BD 50/50</t>
        </is>
      </c>
      <c r="D2" s="6" t="inlineStr">
        <is>
          <t>Cleaning Machine</t>
        </is>
      </c>
      <c r="E2" s="5" t="n">
        <v>45000</v>
      </c>
      <c r="F2" s="7" t="n">
        <v>85000</v>
      </c>
      <c r="G2" s="6" t="inlineStr">
        <is>
          <t>Active</t>
        </is>
      </c>
      <c r="H2" s="6" t="inlineStr">
        <is>
          <t>Team A</t>
        </is>
      </c>
      <c r="I2" s="6" t="inlineStr"/>
    </row>
    <row r="3">
      <c r="A3" s="3" t="inlineStr">
        <is>
          <t>M002</t>
        </is>
      </c>
      <c r="B3" s="3" t="inlineStr">
        <is>
          <t>Pressure Washer</t>
        </is>
      </c>
      <c r="C3" s="3" t="inlineStr">
        <is>
          <t>Bosch AQT 45-14X</t>
        </is>
      </c>
      <c r="D3" s="3" t="inlineStr">
        <is>
          <t>Cleaning Machine</t>
        </is>
      </c>
      <c r="E3" s="8" t="n">
        <v>45066</v>
      </c>
      <c r="F3" s="9" t="n">
        <v>45000</v>
      </c>
      <c r="G3" s="3" t="inlineStr">
        <is>
          <t>Active</t>
        </is>
      </c>
      <c r="H3" s="3" t="inlineStr">
        <is>
          <t>Team B</t>
        </is>
      </c>
      <c r="I3" s="3" t="inlineStr"/>
    </row>
    <row r="4">
      <c r="A4" s="6" t="inlineStr">
        <is>
          <t>M003</t>
        </is>
      </c>
      <c r="B4" s="6" t="inlineStr">
        <is>
          <t>Vacuum Cleaner</t>
        </is>
      </c>
      <c r="C4" s="6" t="inlineStr">
        <is>
          <t>Eureka Forbes Pro</t>
        </is>
      </c>
      <c r="D4" s="6" t="inlineStr">
        <is>
          <t>Cleaning Machine</t>
        </is>
      </c>
      <c r="E4" s="5" t="n">
        <v>44783</v>
      </c>
      <c r="F4" s="7" t="n">
        <v>28000</v>
      </c>
      <c r="G4" s="6" t="inlineStr">
        <is>
          <t>Active</t>
        </is>
      </c>
      <c r="H4" s="6" t="inlineStr">
        <is>
          <t>Team A</t>
        </is>
      </c>
      <c r="I4" s="6" t="inlineStr"/>
    </row>
    <row r="5">
      <c r="A5" s="3" t="inlineStr">
        <is>
          <t>M004</t>
        </is>
      </c>
      <c r="B5" s="3" t="inlineStr">
        <is>
          <t>Pest Control Sprayer</t>
        </is>
      </c>
      <c r="C5" s="3" t="inlineStr">
        <is>
          <t>Solo 475</t>
        </is>
      </c>
      <c r="D5" s="3" t="inlineStr">
        <is>
          <t>Spray Equipment</t>
        </is>
      </c>
      <c r="E5" s="8" t="n">
        <v>44931</v>
      </c>
      <c r="F5" s="9" t="n">
        <v>15000</v>
      </c>
      <c r="G5" s="3" t="inlineStr">
        <is>
          <t>Active</t>
        </is>
      </c>
      <c r="H5" s="3" t="inlineStr">
        <is>
          <t>Pest Team</t>
        </is>
      </c>
      <c r="I5" s="3" t="inlineStr"/>
    </row>
    <row r="6">
      <c r="A6" s="6" t="inlineStr">
        <is>
          <t>M005</t>
        </is>
      </c>
      <c r="B6" s="6" t="inlineStr">
        <is>
          <t>Paint Sprayer</t>
        </is>
      </c>
      <c r="C6" s="6" t="inlineStr">
        <is>
          <t>Graco Magnum X5</t>
        </is>
      </c>
      <c r="D6" s="6" t="inlineStr">
        <is>
          <t>Spray Equipment</t>
        </is>
      </c>
      <c r="E6" s="5" t="n">
        <v>45119</v>
      </c>
      <c r="F6" s="7" t="n">
        <v>65000</v>
      </c>
      <c r="G6" s="6" t="inlineStr">
        <is>
          <t>Under Repair</t>
        </is>
      </c>
      <c r="H6" s="6" t="inlineStr">
        <is>
          <t>Painting Team</t>
        </is>
      </c>
      <c r="I6" s="6" t="inlineStr">
        <is>
          <t>Motor issue</t>
        </is>
      </c>
    </row>
    <row r="7">
      <c r="A7" s="3" t="inlineStr">
        <is>
          <t>M006</t>
        </is>
      </c>
      <c r="B7" s="3" t="inlineStr">
        <is>
          <t>Drill Machine</t>
        </is>
      </c>
      <c r="C7" s="3" t="inlineStr">
        <is>
          <t>Bosch GSB 600</t>
        </is>
      </c>
      <c r="D7" s="3" t="inlineStr">
        <is>
          <t>Power Tools</t>
        </is>
      </c>
      <c r="E7" s="8" t="n">
        <v>44669</v>
      </c>
      <c r="F7" s="9" t="n">
        <v>8500</v>
      </c>
      <c r="G7" s="3" t="inlineStr">
        <is>
          <t>Active</t>
        </is>
      </c>
      <c r="H7" s="3" t="inlineStr">
        <is>
          <t>General</t>
        </is>
      </c>
      <c r="I7" s="3" t="inlineStr"/>
    </row>
    <row r="8">
      <c r="A8" s="6" t="inlineStr">
        <is>
          <t>M007</t>
        </is>
      </c>
      <c r="B8" s="6" t="inlineStr">
        <is>
          <t>Angle Grinder</t>
        </is>
      </c>
      <c r="C8" s="6" t="inlineStr">
        <is>
          <t>Makita GA4030</t>
        </is>
      </c>
      <c r="D8" s="6" t="inlineStr">
        <is>
          <t>Power Tools</t>
        </is>
      </c>
      <c r="E8" s="5" t="n">
        <v>44979</v>
      </c>
      <c r="F8" s="7" t="n">
        <v>6500</v>
      </c>
      <c r="G8" s="6" t="inlineStr">
        <is>
          <t>Active</t>
        </is>
      </c>
      <c r="H8" s="6" t="inlineStr">
        <is>
          <t>General</t>
        </is>
      </c>
      <c r="I8" s="6" t="inlineStr"/>
    </row>
    <row r="9">
      <c r="A9" s="3" t="inlineStr">
        <is>
          <t>M008</t>
        </is>
      </c>
      <c r="B9" s="3" t="inlineStr">
        <is>
          <t>Ladder (12ft)</t>
        </is>
      </c>
      <c r="C9" s="3" t="inlineStr">
        <is>
          <t>Aluminium</t>
        </is>
      </c>
      <c r="D9" s="3" t="inlineStr">
        <is>
          <t>Safety Equipment</t>
        </is>
      </c>
      <c r="E9" s="8" t="n">
        <v>44571</v>
      </c>
      <c r="F9" s="9" t="n">
        <v>12000</v>
      </c>
      <c r="G9" s="3" t="inlineStr">
        <is>
          <t>Active</t>
        </is>
      </c>
      <c r="H9" s="3" t="inlineStr">
        <is>
          <t>Warehouse</t>
        </is>
      </c>
      <c r="I9" s="3" t="inlineStr"/>
    </row>
    <row r="10">
      <c r="A10" s="6" t="inlineStr">
        <is>
          <t>M009</t>
        </is>
      </c>
      <c r="B10" s="6" t="inlineStr">
        <is>
          <t>Steam Cleaner</t>
        </is>
      </c>
      <c r="C10" s="6" t="inlineStr">
        <is>
          <t>Karcher SC3</t>
        </is>
      </c>
      <c r="D10" s="6" t="inlineStr">
        <is>
          <t>Cleaning Machine</t>
        </is>
      </c>
      <c r="E10" s="5" t="n">
        <v>45299</v>
      </c>
      <c r="F10" s="7" t="n">
        <v>35000</v>
      </c>
      <c r="G10" s="6" t="inlineStr">
        <is>
          <t>Active</t>
        </is>
      </c>
      <c r="H10" s="6" t="inlineStr">
        <is>
          <t>Team C</t>
        </is>
      </c>
      <c r="I10" s="6" t="inlineStr"/>
    </row>
    <row r="11">
      <c r="A11" s="3" t="inlineStr">
        <is>
          <t>M010</t>
        </is>
      </c>
      <c r="B11" s="3" t="inlineStr">
        <is>
          <t>Industrial Blower</t>
        </is>
      </c>
      <c r="C11" s="3" t="inlineStr">
        <is>
          <t>Dewalt DCE100</t>
        </is>
      </c>
      <c r="D11" s="3" t="inlineStr">
        <is>
          <t>Cleaning Machine</t>
        </is>
      </c>
      <c r="E11" s="8" t="n">
        <v>45235</v>
      </c>
      <c r="F11" s="9" t="n">
        <v>18000</v>
      </c>
      <c r="G11" s="3" t="inlineStr">
        <is>
          <t>Retired</t>
        </is>
      </c>
      <c r="H11" s="3" t="inlineStr">
        <is>
          <t>Storage</t>
        </is>
      </c>
      <c r="I11" s="3" t="inlineStr">
        <is>
          <t>Replaced</t>
        </is>
      </c>
    </row>
  </sheetData>
  <dataValidations count="2">
    <dataValidation sqref="D2:D1000" showDropDown="0" showInputMessage="0" showErrorMessage="0" allowBlank="1" type="list">
      <formula1>"Cleaning Machine,Spray Equipment,Power Tools,Safety Equipment"</formula1>
    </dataValidation>
    <dataValidation sqref="G2:G1000" showDropDown="0" showInputMessage="0" showErrorMessage="0" allowBlank="1" type="list">
      <formula1>"Active,Under Repair,Retired"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Date</t>
        </is>
      </c>
      <c r="B1" s="2" t="inlineStr">
        <is>
          <t>Machine ID</t>
        </is>
      </c>
      <c r="C1" s="2" t="inlineStr">
        <is>
          <t>Machine Name</t>
        </is>
      </c>
      <c r="D1" s="2" t="inlineStr">
        <is>
          <t>Maintenance Type</t>
        </is>
      </c>
      <c r="E1" s="2" t="inlineStr">
        <is>
          <t>Description</t>
        </is>
      </c>
      <c r="F1" s="2" t="inlineStr">
        <is>
          <t>Cost (₹)</t>
        </is>
      </c>
      <c r="G1" s="2" t="inlineStr">
        <is>
          <t>Done By</t>
        </is>
      </c>
      <c r="H1" s="2" t="inlineStr">
        <is>
          <t>Next Service Due</t>
        </is>
      </c>
      <c r="I1" s="2" t="inlineStr">
        <is>
          <t>Notes</t>
        </is>
      </c>
    </row>
    <row r="2">
      <c r="A2" s="5" t="n">
        <v>45332</v>
      </c>
      <c r="B2" s="6" t="inlineStr">
        <is>
          <t>M001</t>
        </is>
      </c>
      <c r="C2" s="6" t="inlineStr">
        <is>
          <t>Floor Scrubber</t>
        </is>
      </c>
      <c r="D2" s="6" t="inlineStr">
        <is>
          <t>Service</t>
        </is>
      </c>
      <c r="E2" s="6" t="inlineStr">
        <is>
          <t>Regular servicing</t>
        </is>
      </c>
      <c r="F2" s="7" t="n">
        <v>2500</v>
      </c>
      <c r="G2" s="6" t="inlineStr">
        <is>
          <t>Karcher Service</t>
        </is>
      </c>
      <c r="H2" s="5" t="n">
        <v>45514</v>
      </c>
      <c r="I2" s="6" t="inlineStr"/>
    </row>
    <row r="3">
      <c r="A3" s="8" t="n">
        <v>45366</v>
      </c>
      <c r="B3" s="3" t="inlineStr">
        <is>
          <t>M002</t>
        </is>
      </c>
      <c r="C3" s="3" t="inlineStr">
        <is>
          <t>Pressure Washer</t>
        </is>
      </c>
      <c r="D3" s="3" t="inlineStr">
        <is>
          <t>Parts Replacement</t>
        </is>
      </c>
      <c r="E3" s="3" t="inlineStr">
        <is>
          <t>Nozzle replaced</t>
        </is>
      </c>
      <c r="F3" s="9" t="n">
        <v>1200</v>
      </c>
      <c r="G3" s="3" t="inlineStr">
        <is>
          <t>Local Mechanic</t>
        </is>
      </c>
      <c r="H3" s="8" t="n">
        <v>45550</v>
      </c>
      <c r="I3" s="3" t="inlineStr"/>
    </row>
    <row r="4">
      <c r="A4" s="5" t="n">
        <v>45387</v>
      </c>
      <c r="B4" s="6" t="inlineStr">
        <is>
          <t>M003</t>
        </is>
      </c>
      <c r="C4" s="6" t="inlineStr">
        <is>
          <t>Vacuum Cleaner</t>
        </is>
      </c>
      <c r="D4" s="6" t="inlineStr">
        <is>
          <t>Service</t>
        </is>
      </c>
      <c r="E4" s="6" t="inlineStr">
        <is>
          <t>Filter cleaning</t>
        </is>
      </c>
      <c r="F4" s="7" t="n">
        <v>800</v>
      </c>
      <c r="G4" s="6" t="inlineStr">
        <is>
          <t>In-house</t>
        </is>
      </c>
      <c r="H4" s="5" t="n">
        <v>45570</v>
      </c>
      <c r="I4" s="6" t="inlineStr"/>
    </row>
    <row r="5">
      <c r="A5" s="8" t="n">
        <v>45432</v>
      </c>
      <c r="B5" s="3" t="inlineStr">
        <is>
          <t>M005</t>
        </is>
      </c>
      <c r="C5" s="3" t="inlineStr">
        <is>
          <t>Paint Sprayer</t>
        </is>
      </c>
      <c r="D5" s="3" t="inlineStr">
        <is>
          <t>Repair</t>
        </is>
      </c>
      <c r="E5" s="3" t="inlineStr">
        <is>
          <t>Motor rewinding</t>
        </is>
      </c>
      <c r="F5" s="9" t="n">
        <v>8500</v>
      </c>
      <c r="G5" s="3" t="inlineStr">
        <is>
          <t>Graco Service</t>
        </is>
      </c>
      <c r="H5" s="8" t="n">
        <v>45616</v>
      </c>
      <c r="I5" s="3" t="inlineStr">
        <is>
          <t>Under warranty</t>
        </is>
      </c>
    </row>
    <row r="6">
      <c r="A6" s="5" t="n">
        <v>45451</v>
      </c>
      <c r="B6" s="6" t="inlineStr">
        <is>
          <t>M004</t>
        </is>
      </c>
      <c r="C6" s="6" t="inlineStr">
        <is>
          <t>Pest Control Sprayer</t>
        </is>
      </c>
      <c r="D6" s="6" t="inlineStr">
        <is>
          <t>Service</t>
        </is>
      </c>
      <c r="E6" s="6" t="inlineStr">
        <is>
          <t>Valve check</t>
        </is>
      </c>
      <c r="F6" s="7" t="n">
        <v>500</v>
      </c>
      <c r="G6" s="6" t="inlineStr">
        <is>
          <t>In-house</t>
        </is>
      </c>
      <c r="H6" s="5" t="n">
        <v>45634</v>
      </c>
      <c r="I6" s="6" t="inlineStr"/>
    </row>
    <row r="7">
      <c r="A7" s="8" t="n">
        <v>45485</v>
      </c>
      <c r="B7" s="3" t="inlineStr">
        <is>
          <t>M006</t>
        </is>
      </c>
      <c r="C7" s="3" t="inlineStr">
        <is>
          <t>Drill Machine</t>
        </is>
      </c>
      <c r="D7" s="3" t="inlineStr">
        <is>
          <t>Parts Replacement</t>
        </is>
      </c>
      <c r="E7" s="3" t="inlineStr">
        <is>
          <t>Chuck replaced</t>
        </is>
      </c>
      <c r="F7" s="9" t="n">
        <v>1500</v>
      </c>
      <c r="G7" s="3" t="inlineStr">
        <is>
          <t>Bosch Service</t>
        </is>
      </c>
      <c r="H7" s="8" t="n">
        <v>45669</v>
      </c>
      <c r="I7" s="3" t="inlineStr"/>
    </row>
    <row r="8">
      <c r="A8" s="5" t="n">
        <v>45505</v>
      </c>
      <c r="B8" s="6" t="inlineStr">
        <is>
          <t>M001</t>
        </is>
      </c>
      <c r="C8" s="6" t="inlineStr">
        <is>
          <t>Floor Scrubber</t>
        </is>
      </c>
      <c r="D8" s="6" t="inlineStr">
        <is>
          <t>Service</t>
        </is>
      </c>
      <c r="E8" s="6" t="inlineStr">
        <is>
          <t>Brush replacement</t>
        </is>
      </c>
      <c r="F8" s="7" t="n">
        <v>4500</v>
      </c>
      <c r="G8" s="6" t="inlineStr">
        <is>
          <t>Karcher Service</t>
        </is>
      </c>
      <c r="H8" s="5" t="n">
        <v>45689</v>
      </c>
      <c r="I8" s="6" t="inlineStr"/>
    </row>
    <row r="9">
      <c r="A9" s="8" t="n">
        <v>45522</v>
      </c>
      <c r="B9" s="3" t="inlineStr">
        <is>
          <t>M007</t>
        </is>
      </c>
      <c r="C9" s="3" t="inlineStr">
        <is>
          <t>Angle Grinder</t>
        </is>
      </c>
      <c r="D9" s="3" t="inlineStr">
        <is>
          <t>Repair</t>
        </is>
      </c>
      <c r="E9" s="3" t="inlineStr">
        <is>
          <t>Switch repair</t>
        </is>
      </c>
      <c r="F9" s="9" t="n">
        <v>600</v>
      </c>
      <c r="G9" s="3" t="inlineStr">
        <is>
          <t>Local Mechanic</t>
        </is>
      </c>
      <c r="H9" s="8" t="n">
        <v>45706</v>
      </c>
      <c r="I9" s="3" t="inlineStr"/>
    </row>
    <row r="10">
      <c r="A10" s="5" t="n">
        <v>45540</v>
      </c>
      <c r="B10" s="6" t="inlineStr">
        <is>
          <t>M009</t>
        </is>
      </c>
      <c r="C10" s="6" t="inlineStr">
        <is>
          <t>Steam Cleaner</t>
        </is>
      </c>
      <c r="D10" s="6" t="inlineStr">
        <is>
          <t>Service</t>
        </is>
      </c>
      <c r="E10" s="6" t="inlineStr">
        <is>
          <t>Descaling</t>
        </is>
      </c>
      <c r="F10" s="7" t="n">
        <v>1200</v>
      </c>
      <c r="G10" s="6" t="inlineStr">
        <is>
          <t>Karcher Service</t>
        </is>
      </c>
      <c r="H10" s="5" t="n">
        <v>45721</v>
      </c>
      <c r="I10" s="6" t="inlineStr"/>
    </row>
    <row r="11">
      <c r="A11" s="8" t="n">
        <v>45575</v>
      </c>
      <c r="B11" s="3" t="inlineStr">
        <is>
          <t>M002</t>
        </is>
      </c>
      <c r="C11" s="3" t="inlineStr">
        <is>
          <t>Pressure Washer</t>
        </is>
      </c>
      <c r="D11" s="3" t="inlineStr">
        <is>
          <t>Service</t>
        </is>
      </c>
      <c r="E11" s="3" t="inlineStr">
        <is>
          <t>Regular maintenance</t>
        </is>
      </c>
      <c r="F11" s="9" t="n">
        <v>1800</v>
      </c>
      <c r="G11" s="3" t="inlineStr">
        <is>
          <t>Bosch Service</t>
        </is>
      </c>
      <c r="H11" s="8" t="n">
        <v>45757</v>
      </c>
      <c r="I11" s="3" t="inlineStr"/>
    </row>
    <row r="12">
      <c r="A12" s="5" t="n">
        <v>45611</v>
      </c>
      <c r="B12" s="6" t="inlineStr">
        <is>
          <t>M003</t>
        </is>
      </c>
      <c r="C12" s="6" t="inlineStr">
        <is>
          <t>Vacuum Cleaner</t>
        </is>
      </c>
      <c r="D12" s="6" t="inlineStr">
        <is>
          <t>Parts Replacement</t>
        </is>
      </c>
      <c r="E12" s="6" t="inlineStr">
        <is>
          <t>Motor replaced</t>
        </is>
      </c>
      <c r="F12" s="7" t="n">
        <v>5500</v>
      </c>
      <c r="G12" s="6" t="inlineStr">
        <is>
          <t>Eureka Service</t>
        </is>
      </c>
      <c r="H12" s="5" t="n">
        <v>45792</v>
      </c>
      <c r="I12" s="6" t="inlineStr"/>
    </row>
    <row r="13">
      <c r="A13" s="8" t="n">
        <v>45627</v>
      </c>
      <c r="B13" s="3" t="inlineStr">
        <is>
          <t>M005</t>
        </is>
      </c>
      <c r="C13" s="3" t="inlineStr">
        <is>
          <t>Paint Sprayer</t>
        </is>
      </c>
      <c r="D13" s="3" t="inlineStr">
        <is>
          <t>Repair</t>
        </is>
      </c>
      <c r="E13" s="3" t="inlineStr">
        <is>
          <t>Hose replacement</t>
        </is>
      </c>
      <c r="F13" s="9" t="n">
        <v>2200</v>
      </c>
      <c r="G13" s="3" t="inlineStr">
        <is>
          <t>Graco Service</t>
        </is>
      </c>
      <c r="H13" s="8" t="n">
        <v>45809</v>
      </c>
      <c r="I13" s="3" t="inlineStr">
        <is>
          <t>Still under repair</t>
        </is>
      </c>
    </row>
    <row r="14">
      <c r="A14" s="5" t="n">
        <v>45662</v>
      </c>
      <c r="B14" s="6" t="inlineStr">
        <is>
          <t>M004</t>
        </is>
      </c>
      <c r="C14" s="6" t="inlineStr">
        <is>
          <t>Pest Control Sprayer</t>
        </is>
      </c>
      <c r="D14" s="6" t="inlineStr">
        <is>
          <t>Service</t>
        </is>
      </c>
      <c r="E14" s="6" t="inlineStr">
        <is>
          <t>Annual service</t>
        </is>
      </c>
      <c r="F14" s="7" t="n">
        <v>1000</v>
      </c>
      <c r="G14" s="6" t="inlineStr">
        <is>
          <t>Solo Service</t>
        </is>
      </c>
      <c r="H14" s="5" t="n">
        <v>45843</v>
      </c>
      <c r="I14" s="6" t="inlineStr"/>
    </row>
    <row r="15">
      <c r="A15" s="8" t="n">
        <v>45672</v>
      </c>
      <c r="B15" s="3" t="inlineStr">
        <is>
          <t>M006</t>
        </is>
      </c>
      <c r="C15" s="3" t="inlineStr">
        <is>
          <t>Drill Machine</t>
        </is>
      </c>
      <c r="D15" s="3" t="inlineStr">
        <is>
          <t>Service</t>
        </is>
      </c>
      <c r="E15" s="3" t="inlineStr">
        <is>
          <t>Oiling &amp; cleaning</t>
        </is>
      </c>
      <c r="F15" s="9" t="n">
        <v>300</v>
      </c>
      <c r="G15" s="3" t="inlineStr">
        <is>
          <t>In-house</t>
        </is>
      </c>
      <c r="H15" s="8" t="n">
        <v>45853</v>
      </c>
      <c r="I15" s="3" t="inlineStr"/>
    </row>
    <row r="16">
      <c r="A16" s="5" t="n">
        <v>45677</v>
      </c>
      <c r="B16" s="6" t="inlineStr">
        <is>
          <t>M009</t>
        </is>
      </c>
      <c r="C16" s="6" t="inlineStr">
        <is>
          <t>Steam Cleaner</t>
        </is>
      </c>
      <c r="D16" s="6" t="inlineStr">
        <is>
          <t>Parts Replacement</t>
        </is>
      </c>
      <c r="E16" s="6" t="inlineStr">
        <is>
          <t>Gasket replaced</t>
        </is>
      </c>
      <c r="F16" s="7" t="n">
        <v>800</v>
      </c>
      <c r="G16" s="6" t="inlineStr">
        <is>
          <t>Karcher Service</t>
        </is>
      </c>
      <c r="H16" s="5" t="n">
        <v>45858</v>
      </c>
      <c r="I16" s="6" t="inlineStr"/>
    </row>
  </sheetData>
  <dataValidations count="2">
    <dataValidation sqref="D2:D1000" showDropDown="0" showInputMessage="0" showErrorMessage="0" allowBlank="1" type="list">
      <formula1>"Repair,Service,Parts Replacement"</formula1>
    </dataValidation>
    <dataValidation sqref="B2:B1000" showDropDown="0" showInputMessage="0" showErrorMessage="0" allowBlank="1" type="list">
      <formula1>"M001,M002,M003,M004,M005,M006,M007,M008,M009,M010"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Item ID</t>
        </is>
      </c>
      <c r="B1" s="2" t="inlineStr">
        <is>
          <t>Chemical Name</t>
        </is>
      </c>
      <c r="C1" s="2" t="inlineStr">
        <is>
          <t>Brand</t>
        </is>
      </c>
      <c r="D1" s="2" t="inlineStr">
        <is>
          <t>Category</t>
        </is>
      </c>
      <c r="E1" s="2" t="inlineStr">
        <is>
          <t>Unit</t>
        </is>
      </c>
      <c r="F1" s="2" t="inlineStr">
        <is>
          <t>Opening Stock</t>
        </is>
      </c>
      <c r="G1" s="2" t="inlineStr">
        <is>
          <t>Stock Added</t>
        </is>
      </c>
      <c r="H1" s="2" t="inlineStr">
        <is>
          <t>Stock Used</t>
        </is>
      </c>
      <c r="I1" s="2" t="inlineStr">
        <is>
          <t>Closing Stock</t>
        </is>
      </c>
      <c r="J1" s="2" t="inlineStr">
        <is>
          <t>Min Level</t>
        </is>
      </c>
      <c r="K1" s="2" t="inlineStr">
        <is>
          <t>Status</t>
        </is>
      </c>
      <c r="L1" s="2" t="inlineStr">
        <is>
          <t>Last Updated</t>
        </is>
      </c>
    </row>
    <row r="2">
      <c r="A2" s="6" t="inlineStr">
        <is>
          <t>CH001</t>
        </is>
      </c>
      <c r="B2" s="6" t="inlineStr">
        <is>
          <t>Floor Cleaner</t>
        </is>
      </c>
      <c r="C2" s="6" t="inlineStr">
        <is>
          <t>Lizol</t>
        </is>
      </c>
      <c r="D2" s="6" t="inlineStr">
        <is>
          <t>Cleaning Agents</t>
        </is>
      </c>
      <c r="E2" s="6" t="inlineStr">
        <is>
          <t>Liters</t>
        </is>
      </c>
      <c r="F2" s="6" t="n">
        <v>50</v>
      </c>
      <c r="G2" s="6" t="n">
        <v>100</v>
      </c>
      <c r="H2" s="6" t="n">
        <v>80</v>
      </c>
      <c r="I2" s="6">
        <f>F2+G2-H2</f>
        <v/>
      </c>
      <c r="J2" s="6" t="n">
        <v>20</v>
      </c>
      <c r="K2" s="6">
        <f>IF(I2&lt;J2,"Low Stock","OK")</f>
        <v/>
      </c>
      <c r="L2" s="5" t="n">
        <v>45682</v>
      </c>
    </row>
    <row r="3">
      <c r="A3" s="3" t="inlineStr">
        <is>
          <t>CH002</t>
        </is>
      </c>
      <c r="B3" s="3" t="inlineStr">
        <is>
          <t>Glass Cleaner</t>
        </is>
      </c>
      <c r="C3" s="3" t="inlineStr">
        <is>
          <t>Colin</t>
        </is>
      </c>
      <c r="D3" s="3" t="inlineStr">
        <is>
          <t>Cleaning Agents</t>
        </is>
      </c>
      <c r="E3" s="3" t="inlineStr">
        <is>
          <t>Liters</t>
        </is>
      </c>
      <c r="F3" s="3" t="n">
        <v>30</v>
      </c>
      <c r="G3" s="3" t="n">
        <v>50</v>
      </c>
      <c r="H3" s="3" t="n">
        <v>45</v>
      </c>
      <c r="I3" s="3">
        <f>F3+G3-H3</f>
        <v/>
      </c>
      <c r="J3" s="3" t="n">
        <v>15</v>
      </c>
      <c r="K3" s="3">
        <f>IF(I3&lt;J3,"Low Stock","OK")</f>
        <v/>
      </c>
      <c r="L3" s="8" t="n">
        <v>45682</v>
      </c>
    </row>
    <row r="4">
      <c r="A4" s="6" t="inlineStr">
        <is>
          <t>CH003</t>
        </is>
      </c>
      <c r="B4" s="6" t="inlineStr">
        <is>
          <t>Toilet Cleaner</t>
        </is>
      </c>
      <c r="C4" s="6" t="inlineStr">
        <is>
          <t>Harpic</t>
        </is>
      </c>
      <c r="D4" s="6" t="inlineStr">
        <is>
          <t>Cleaning Agents</t>
        </is>
      </c>
      <c r="E4" s="6" t="inlineStr">
        <is>
          <t>Liters</t>
        </is>
      </c>
      <c r="F4" s="6" t="n">
        <v>40</v>
      </c>
      <c r="G4" s="6" t="n">
        <v>80</v>
      </c>
      <c r="H4" s="6" t="n">
        <v>70</v>
      </c>
      <c r="I4" s="6">
        <f>F4+G4-H4</f>
        <v/>
      </c>
      <c r="J4" s="6" t="n">
        <v>20</v>
      </c>
      <c r="K4" s="6">
        <f>IF(I4&lt;J4,"Low Stock","OK")</f>
        <v/>
      </c>
      <c r="L4" s="5" t="n">
        <v>45682</v>
      </c>
    </row>
    <row r="5">
      <c r="A5" s="3" t="inlineStr">
        <is>
          <t>CH004</t>
        </is>
      </c>
      <c r="B5" s="3" t="inlineStr">
        <is>
          <t>Pesticide Spray</t>
        </is>
      </c>
      <c r="C5" s="3" t="inlineStr">
        <is>
          <t>Baygon Pro</t>
        </is>
      </c>
      <c r="D5" s="3" t="inlineStr">
        <is>
          <t>Pest Control</t>
        </is>
      </c>
      <c r="E5" s="3" t="inlineStr">
        <is>
          <t>Cans</t>
        </is>
      </c>
      <c r="F5" s="3" t="n">
        <v>25</v>
      </c>
      <c r="G5" s="3" t="n">
        <v>50</v>
      </c>
      <c r="H5" s="3" t="n">
        <v>55</v>
      </c>
      <c r="I5" s="3">
        <f>F5+G5-H5</f>
        <v/>
      </c>
      <c r="J5" s="3" t="n">
        <v>10</v>
      </c>
      <c r="K5" s="3">
        <f>IF(I5&lt;J5,"Low Stock","OK")</f>
        <v/>
      </c>
      <c r="L5" s="8" t="n">
        <v>45682</v>
      </c>
    </row>
    <row r="6">
      <c r="A6" s="6" t="inlineStr">
        <is>
          <t>CH005</t>
        </is>
      </c>
      <c r="B6" s="6" t="inlineStr">
        <is>
          <t>Termite Solution</t>
        </is>
      </c>
      <c r="C6" s="6" t="inlineStr">
        <is>
          <t>Premise</t>
        </is>
      </c>
      <c r="D6" s="6" t="inlineStr">
        <is>
          <t>Pest Control</t>
        </is>
      </c>
      <c r="E6" s="6" t="inlineStr">
        <is>
          <t>Liters</t>
        </is>
      </c>
      <c r="F6" s="6" t="n">
        <v>20</v>
      </c>
      <c r="G6" s="6" t="n">
        <v>40</v>
      </c>
      <c r="H6" s="6" t="n">
        <v>35</v>
      </c>
      <c r="I6" s="6">
        <f>F6+G6-H6</f>
        <v/>
      </c>
      <c r="J6" s="6" t="n">
        <v>10</v>
      </c>
      <c r="K6" s="6">
        <f>IF(I6&lt;J6,"Low Stock","OK")</f>
        <v/>
      </c>
      <c r="L6" s="5" t="n">
        <v>45682</v>
      </c>
    </row>
    <row r="7">
      <c r="A7" s="3" t="inlineStr">
        <is>
          <t>CH006</t>
        </is>
      </c>
      <c r="B7" s="3" t="inlineStr">
        <is>
          <t>Hand Sanitizer</t>
        </is>
      </c>
      <c r="C7" s="3" t="inlineStr">
        <is>
          <t>Dettol</t>
        </is>
      </c>
      <c r="D7" s="3" t="inlineStr">
        <is>
          <t>Sanitizers</t>
        </is>
      </c>
      <c r="E7" s="3" t="inlineStr">
        <is>
          <t>Liters</t>
        </is>
      </c>
      <c r="F7" s="3" t="n">
        <v>15</v>
      </c>
      <c r="G7" s="3" t="n">
        <v>30</v>
      </c>
      <c r="H7" s="3" t="n">
        <v>28</v>
      </c>
      <c r="I7" s="3">
        <f>F7+G7-H7</f>
        <v/>
      </c>
      <c r="J7" s="3" t="n">
        <v>10</v>
      </c>
      <c r="K7" s="3">
        <f>IF(I7&lt;J7,"Low Stock","OK")</f>
        <v/>
      </c>
      <c r="L7" s="8" t="n">
        <v>45682</v>
      </c>
    </row>
    <row r="8">
      <c r="A8" s="6" t="inlineStr">
        <is>
          <t>CH007</t>
        </is>
      </c>
      <c r="B8" s="6" t="inlineStr">
        <is>
          <t>Surface Disinfectant</t>
        </is>
      </c>
      <c r="C8" s="6" t="inlineStr">
        <is>
          <t>Lysol</t>
        </is>
      </c>
      <c r="D8" s="6" t="inlineStr">
        <is>
          <t>Sanitizers</t>
        </is>
      </c>
      <c r="E8" s="6" t="inlineStr">
        <is>
          <t>Liters</t>
        </is>
      </c>
      <c r="F8" s="6" t="n">
        <v>25</v>
      </c>
      <c r="G8" s="6" t="n">
        <v>50</v>
      </c>
      <c r="H8" s="6" t="n">
        <v>40</v>
      </c>
      <c r="I8" s="6">
        <f>F8+G8-H8</f>
        <v/>
      </c>
      <c r="J8" s="6" t="n">
        <v>15</v>
      </c>
      <c r="K8" s="6">
        <f>IF(I8&lt;J8,"Low Stock","OK")</f>
        <v/>
      </c>
      <c r="L8" s="5" t="n">
        <v>45682</v>
      </c>
    </row>
    <row r="9">
      <c r="A9" s="3" t="inlineStr">
        <is>
          <t>CH008</t>
        </is>
      </c>
      <c r="B9" s="3" t="inlineStr">
        <is>
          <t>Degreaser</t>
        </is>
      </c>
      <c r="C9" s="3" t="inlineStr">
        <is>
          <t>WD-40</t>
        </is>
      </c>
      <c r="D9" s="3" t="inlineStr">
        <is>
          <t>Specialty</t>
        </is>
      </c>
      <c r="E9" s="3" t="inlineStr">
        <is>
          <t>Cans</t>
        </is>
      </c>
      <c r="F9" s="3" t="n">
        <v>10</v>
      </c>
      <c r="G9" s="3" t="n">
        <v>20</v>
      </c>
      <c r="H9" s="3" t="n">
        <v>18</v>
      </c>
      <c r="I9" s="3">
        <f>F9+G9-H9</f>
        <v/>
      </c>
      <c r="J9" s="3" t="n">
        <v>5</v>
      </c>
      <c r="K9" s="3">
        <f>IF(I9&lt;J9,"Low Stock","OK")</f>
        <v/>
      </c>
      <c r="L9" s="8" t="n">
        <v>45682</v>
      </c>
    </row>
    <row r="10">
      <c r="A10" s="6" t="inlineStr">
        <is>
          <t>CH009</t>
        </is>
      </c>
      <c r="B10" s="6" t="inlineStr">
        <is>
          <t>Stain Remover</t>
        </is>
      </c>
      <c r="C10" s="6" t="inlineStr">
        <is>
          <t>Vanish</t>
        </is>
      </c>
      <c r="D10" s="6" t="inlineStr">
        <is>
          <t>Specialty</t>
        </is>
      </c>
      <c r="E10" s="6" t="inlineStr">
        <is>
          <t>KG</t>
        </is>
      </c>
      <c r="F10" s="6" t="n">
        <v>8</v>
      </c>
      <c r="G10" s="6" t="n">
        <v>15</v>
      </c>
      <c r="H10" s="6" t="n">
        <v>12</v>
      </c>
      <c r="I10" s="6">
        <f>F10+G10-H10</f>
        <v/>
      </c>
      <c r="J10" s="6" t="n">
        <v>5</v>
      </c>
      <c r="K10" s="6">
        <f>IF(I10&lt;J10,"Low Stock","OK")</f>
        <v/>
      </c>
      <c r="L10" s="5" t="n">
        <v>45682</v>
      </c>
    </row>
    <row r="11">
      <c r="A11" s="3" t="inlineStr">
        <is>
          <t>CH010</t>
        </is>
      </c>
      <c r="B11" s="3" t="inlineStr">
        <is>
          <t>Air Freshener</t>
        </is>
      </c>
      <c r="C11" s="3" t="inlineStr">
        <is>
          <t>Odonil</t>
        </is>
      </c>
      <c r="D11" s="3" t="inlineStr">
        <is>
          <t>Specialty</t>
        </is>
      </c>
      <c r="E11" s="3" t="inlineStr">
        <is>
          <t>Cans</t>
        </is>
      </c>
      <c r="F11" s="3" t="n">
        <v>30</v>
      </c>
      <c r="G11" s="3" t="n">
        <v>60</v>
      </c>
      <c r="H11" s="3" t="n">
        <v>65</v>
      </c>
      <c r="I11" s="3">
        <f>F11+G11-H11</f>
        <v/>
      </c>
      <c r="J11" s="3" t="n">
        <v>15</v>
      </c>
      <c r="K11" s="3">
        <f>IF(I11&lt;J11,"Low Stock","OK")</f>
        <v/>
      </c>
      <c r="L11" s="8" t="n">
        <v>45682</v>
      </c>
    </row>
    <row r="12">
      <c r="A12" s="6" t="inlineStr">
        <is>
          <t>CH011</t>
        </is>
      </c>
      <c r="B12" s="6" t="inlineStr">
        <is>
          <t>Cockroach Gel</t>
        </is>
      </c>
      <c r="C12" s="6" t="inlineStr">
        <is>
          <t>Advion</t>
        </is>
      </c>
      <c r="D12" s="6" t="inlineStr">
        <is>
          <t>Pest Control</t>
        </is>
      </c>
      <c r="E12" s="6" t="inlineStr">
        <is>
          <t>Bottles</t>
        </is>
      </c>
      <c r="F12" s="6" t="n">
        <v>20</v>
      </c>
      <c r="G12" s="6" t="n">
        <v>30</v>
      </c>
      <c r="H12" s="6" t="n">
        <v>25</v>
      </c>
      <c r="I12" s="6">
        <f>F12+G12-H12</f>
        <v/>
      </c>
      <c r="J12" s="6" t="n">
        <v>10</v>
      </c>
      <c r="K12" s="6">
        <f>IF(I12&lt;J12,"Low Stock","OK")</f>
        <v/>
      </c>
      <c r="L12" s="5" t="n">
        <v>45682</v>
      </c>
    </row>
    <row r="13">
      <c r="A13" s="3" t="inlineStr">
        <is>
          <t>CH012</t>
        </is>
      </c>
      <c r="B13" s="3" t="inlineStr">
        <is>
          <t>Fabric Softener</t>
        </is>
      </c>
      <c r="C13" s="3" t="inlineStr">
        <is>
          <t>Comfort</t>
        </is>
      </c>
      <c r="D13" s="3" t="inlineStr">
        <is>
          <t>Cleaning Agents</t>
        </is>
      </c>
      <c r="E13" s="3" t="inlineStr">
        <is>
          <t>Liters</t>
        </is>
      </c>
      <c r="F13" s="3" t="n">
        <v>15</v>
      </c>
      <c r="G13" s="3" t="n">
        <v>25</v>
      </c>
      <c r="H13" s="3" t="n">
        <v>22</v>
      </c>
      <c r="I13" s="3">
        <f>F13+G13-H13</f>
        <v/>
      </c>
      <c r="J13" s="3" t="n">
        <v>10</v>
      </c>
      <c r="K13" s="3">
        <f>IF(I13&lt;J13,"Low Stock","OK")</f>
        <v/>
      </c>
      <c r="L13" s="8" t="n">
        <v>45682</v>
      </c>
    </row>
  </sheetData>
  <conditionalFormatting sqref="K2:K1000">
    <cfRule type="expression" priority="1" dxfId="0">
      <formula>K2="Low Stock"</formula>
    </cfRule>
    <cfRule type="expression" priority="2" dxfId="1">
      <formula>K2="OK"</formula>
    </cfRule>
  </conditionalFormatting>
  <dataValidations count="2">
    <dataValidation sqref="D2:D1000" showDropDown="0" showInputMessage="0" showErrorMessage="0" allowBlank="1" type="list">
      <formula1>"Cleaning Agents,Pest Control,Sanitizers,Specialty"</formula1>
    </dataValidation>
    <dataValidation sqref="E2:E1000" showDropDown="0" showInputMessage="0" showErrorMessage="0" allowBlank="1" type="list">
      <formula1>"Liters,KG,Bottles,Cans"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Item ID</t>
        </is>
      </c>
      <c r="B1" s="2" t="inlineStr">
        <is>
          <t>Item Name</t>
        </is>
      </c>
      <c r="C1" s="2" t="inlineStr">
        <is>
          <t>Category</t>
        </is>
      </c>
      <c r="D1" s="2" t="inlineStr">
        <is>
          <t>Unit</t>
        </is>
      </c>
      <c r="E1" s="2" t="inlineStr">
        <is>
          <t>Opening Stock</t>
        </is>
      </c>
      <c r="F1" s="2" t="inlineStr">
        <is>
          <t>Stock Added</t>
        </is>
      </c>
      <c r="G1" s="2" t="inlineStr">
        <is>
          <t>Stock Used</t>
        </is>
      </c>
      <c r="H1" s="2" t="inlineStr">
        <is>
          <t>Closing Stock</t>
        </is>
      </c>
      <c r="I1" s="2" t="inlineStr">
        <is>
          <t>Min Level</t>
        </is>
      </c>
      <c r="J1" s="2" t="inlineStr">
        <is>
          <t>Status</t>
        </is>
      </c>
      <c r="K1" s="2" t="inlineStr">
        <is>
          <t>Last Updated</t>
        </is>
      </c>
    </row>
    <row r="2">
      <c r="A2" s="6" t="inlineStr">
        <is>
          <t>AC001</t>
        </is>
      </c>
      <c r="B2" s="6" t="inlineStr">
        <is>
          <t>Rubber Hose (10m)</t>
        </is>
      </c>
      <c r="C2" s="6" t="inlineStr">
        <is>
          <t>Pipes &amp; Hoses</t>
        </is>
      </c>
      <c r="D2" s="6" t="inlineStr">
        <is>
          <t>Pieces</t>
        </is>
      </c>
      <c r="E2" s="6" t="n">
        <v>10</v>
      </c>
      <c r="F2" s="6" t="n">
        <v>15</v>
      </c>
      <c r="G2" s="6" t="n">
        <v>12</v>
      </c>
      <c r="H2" s="6">
        <f>E2+F2-G2</f>
        <v/>
      </c>
      <c r="I2" s="6" t="n">
        <v>5</v>
      </c>
      <c r="J2" s="6">
        <f>IF(H2&lt;I2,"Low Stock","OK")</f>
        <v/>
      </c>
      <c r="K2" s="5" t="n">
        <v>45682</v>
      </c>
    </row>
    <row r="3">
      <c r="A3" s="3" t="inlineStr">
        <is>
          <t>AC002</t>
        </is>
      </c>
      <c r="B3" s="3" t="inlineStr">
        <is>
          <t>Floor Mop</t>
        </is>
      </c>
      <c r="C3" s="3" t="inlineStr">
        <is>
          <t>Brushes &amp; Mops</t>
        </is>
      </c>
      <c r="D3" s="3" t="inlineStr">
        <is>
          <t>Pieces</t>
        </is>
      </c>
      <c r="E3" s="3" t="n">
        <v>20</v>
      </c>
      <c r="F3" s="3" t="n">
        <v>30</v>
      </c>
      <c r="G3" s="3" t="n">
        <v>28</v>
      </c>
      <c r="H3" s="3">
        <f>E3+F3-G3</f>
        <v/>
      </c>
      <c r="I3" s="3" t="n">
        <v>10</v>
      </c>
      <c r="J3" s="3">
        <f>IF(H3&lt;I3,"Low Stock","OK")</f>
        <v/>
      </c>
      <c r="K3" s="8" t="n">
        <v>45682</v>
      </c>
    </row>
    <row r="4">
      <c r="A4" s="6" t="inlineStr">
        <is>
          <t>AC003</t>
        </is>
      </c>
      <c r="B4" s="6" t="inlineStr">
        <is>
          <t>Scrub Brush</t>
        </is>
      </c>
      <c r="C4" s="6" t="inlineStr">
        <is>
          <t>Brushes &amp; Mops</t>
        </is>
      </c>
      <c r="D4" s="6" t="inlineStr">
        <is>
          <t>Pieces</t>
        </is>
      </c>
      <c r="E4" s="6" t="n">
        <v>25</v>
      </c>
      <c r="F4" s="6" t="n">
        <v>40</v>
      </c>
      <c r="G4" s="6" t="n">
        <v>35</v>
      </c>
      <c r="H4" s="6">
        <f>E4+F4-G4</f>
        <v/>
      </c>
      <c r="I4" s="6" t="n">
        <v>10</v>
      </c>
      <c r="J4" s="6">
        <f>IF(H4&lt;I4,"Low Stock","OK")</f>
        <v/>
      </c>
      <c r="K4" s="5" t="n">
        <v>45682</v>
      </c>
    </row>
    <row r="5">
      <c r="A5" s="3" t="inlineStr">
        <is>
          <t>AC004</t>
        </is>
      </c>
      <c r="B5" s="3" t="inlineStr">
        <is>
          <t>Microfiber Cloth</t>
        </is>
      </c>
      <c r="C5" s="3" t="inlineStr">
        <is>
          <t>Cloths &amp; Wipes</t>
        </is>
      </c>
      <c r="D5" s="3" t="inlineStr">
        <is>
          <t>Pieces</t>
        </is>
      </c>
      <c r="E5" s="3" t="n">
        <v>50</v>
      </c>
      <c r="F5" s="3" t="n">
        <v>100</v>
      </c>
      <c r="G5" s="3" t="n">
        <v>90</v>
      </c>
      <c r="H5" s="3">
        <f>E5+F5-G5</f>
        <v/>
      </c>
      <c r="I5" s="3" t="n">
        <v>25</v>
      </c>
      <c r="J5" s="3">
        <f>IF(H5&lt;I5,"Low Stock","OK")</f>
        <v/>
      </c>
      <c r="K5" s="8" t="n">
        <v>45682</v>
      </c>
    </row>
    <row r="6">
      <c r="A6" s="6" t="inlineStr">
        <is>
          <t>AC005</t>
        </is>
      </c>
      <c r="B6" s="6" t="inlineStr">
        <is>
          <t>Rubber Gloves</t>
        </is>
      </c>
      <c r="C6" s="6" t="inlineStr">
        <is>
          <t>Gloves &amp; Safety</t>
        </is>
      </c>
      <c r="D6" s="6" t="inlineStr">
        <is>
          <t>Pairs</t>
        </is>
      </c>
      <c r="E6" s="6" t="n">
        <v>30</v>
      </c>
      <c r="F6" s="6" t="n">
        <v>50</v>
      </c>
      <c r="G6" s="6" t="n">
        <v>48</v>
      </c>
      <c r="H6" s="6">
        <f>E6+F6-G6</f>
        <v/>
      </c>
      <c r="I6" s="6" t="n">
        <v>15</v>
      </c>
      <c r="J6" s="6">
        <f>IF(H6&lt;I6,"Low Stock","OK")</f>
        <v/>
      </c>
      <c r="K6" s="5" t="n">
        <v>45682</v>
      </c>
    </row>
    <row r="7">
      <c r="A7" s="3" t="inlineStr">
        <is>
          <t>AC006</t>
        </is>
      </c>
      <c r="B7" s="3" t="inlineStr">
        <is>
          <t>Safety Goggles</t>
        </is>
      </c>
      <c r="C7" s="3" t="inlineStr">
        <is>
          <t>Gloves &amp; Safety</t>
        </is>
      </c>
      <c r="D7" s="3" t="inlineStr">
        <is>
          <t>Pieces</t>
        </is>
      </c>
      <c r="E7" s="3" t="n">
        <v>10</v>
      </c>
      <c r="F7" s="3" t="n">
        <v>15</v>
      </c>
      <c r="G7" s="3" t="n">
        <v>8</v>
      </c>
      <c r="H7" s="3">
        <f>E7+F7-G7</f>
        <v/>
      </c>
      <c r="I7" s="3" t="n">
        <v>5</v>
      </c>
      <c r="J7" s="3">
        <f>IF(H7&lt;I7,"Low Stock","OK")</f>
        <v/>
      </c>
      <c r="K7" s="8" t="n">
        <v>45682</v>
      </c>
    </row>
    <row r="8">
      <c r="A8" s="6" t="inlineStr">
        <is>
          <t>AC007</t>
        </is>
      </c>
      <c r="B8" s="6" t="inlineStr">
        <is>
          <t>Spray Bottles</t>
        </is>
      </c>
      <c r="C8" s="6" t="inlineStr">
        <is>
          <t>Other</t>
        </is>
      </c>
      <c r="D8" s="6" t="inlineStr">
        <is>
          <t>Pieces</t>
        </is>
      </c>
      <c r="E8" s="6" t="n">
        <v>20</v>
      </c>
      <c r="F8" s="6" t="n">
        <v>30</v>
      </c>
      <c r="G8" s="6" t="n">
        <v>22</v>
      </c>
      <c r="H8" s="6">
        <f>E8+F8-G8</f>
        <v/>
      </c>
      <c r="I8" s="6" t="n">
        <v>10</v>
      </c>
      <c r="J8" s="6">
        <f>IF(H8&lt;I8,"Low Stock","OK")</f>
        <v/>
      </c>
      <c r="K8" s="5" t="n">
        <v>45682</v>
      </c>
    </row>
    <row r="9">
      <c r="A9" s="3" t="inlineStr">
        <is>
          <t>AC008</t>
        </is>
      </c>
      <c r="B9" s="3" t="inlineStr">
        <is>
          <t>Dust Pan Set</t>
        </is>
      </c>
      <c r="C9" s="3" t="inlineStr">
        <is>
          <t>Brushes &amp; Mops</t>
        </is>
      </c>
      <c r="D9" s="3" t="inlineStr">
        <is>
          <t>Sets</t>
        </is>
      </c>
      <c r="E9" s="3" t="n">
        <v>15</v>
      </c>
      <c r="F9" s="3" t="n">
        <v>20</v>
      </c>
      <c r="G9" s="3" t="n">
        <v>18</v>
      </c>
      <c r="H9" s="3">
        <f>E9+F9-G9</f>
        <v/>
      </c>
      <c r="I9" s="3" t="n">
        <v>8</v>
      </c>
      <c r="J9" s="3">
        <f>IF(H9&lt;I9,"Low Stock","OK")</f>
        <v/>
      </c>
      <c r="K9" s="8" t="n">
        <v>45682</v>
      </c>
    </row>
    <row r="10">
      <c r="A10" s="6" t="inlineStr">
        <is>
          <t>AC009</t>
        </is>
      </c>
      <c r="B10" s="6" t="inlineStr">
        <is>
          <t>Extension Cord</t>
        </is>
      </c>
      <c r="C10" s="6" t="inlineStr">
        <is>
          <t>Tools</t>
        </is>
      </c>
      <c r="D10" s="6" t="inlineStr">
        <is>
          <t>Pieces</t>
        </is>
      </c>
      <c r="E10" s="6" t="n">
        <v>8</v>
      </c>
      <c r="F10" s="6" t="n">
        <v>10</v>
      </c>
      <c r="G10" s="6" t="n">
        <v>7</v>
      </c>
      <c r="H10" s="6">
        <f>E10+F10-G10</f>
        <v/>
      </c>
      <c r="I10" s="6" t="n">
        <v>4</v>
      </c>
      <c r="J10" s="6">
        <f>IF(H10&lt;I10,"Low Stock","OK")</f>
        <v/>
      </c>
      <c r="K10" s="5" t="n">
        <v>45682</v>
      </c>
    </row>
    <row r="11">
      <c r="A11" s="3" t="inlineStr">
        <is>
          <t>AC010</t>
        </is>
      </c>
      <c r="B11" s="3" t="inlineStr">
        <is>
          <t>Bucket (20L)</t>
        </is>
      </c>
      <c r="C11" s="3" t="inlineStr">
        <is>
          <t>Other</t>
        </is>
      </c>
      <c r="D11" s="3" t="inlineStr">
        <is>
          <t>Pieces</t>
        </is>
      </c>
      <c r="E11" s="3" t="n">
        <v>25</v>
      </c>
      <c r="F11" s="3" t="n">
        <v>30</v>
      </c>
      <c r="G11" s="3" t="n">
        <v>28</v>
      </c>
      <c r="H11" s="3">
        <f>E11+F11-G11</f>
        <v/>
      </c>
      <c r="I11" s="3" t="n">
        <v>10</v>
      </c>
      <c r="J11" s="3">
        <f>IF(H11&lt;I11,"Low Stock","OK")</f>
        <v/>
      </c>
      <c r="K11" s="8" t="n">
        <v>45682</v>
      </c>
    </row>
    <row r="12">
      <c r="A12" s="6" t="inlineStr">
        <is>
          <t>AC011</t>
        </is>
      </c>
      <c r="B12" s="6" t="inlineStr">
        <is>
          <t>Face Masks</t>
        </is>
      </c>
      <c r="C12" s="6" t="inlineStr">
        <is>
          <t>Gloves &amp; Safety</t>
        </is>
      </c>
      <c r="D12" s="6" t="inlineStr">
        <is>
          <t>Boxes</t>
        </is>
      </c>
      <c r="E12" s="6" t="n">
        <v>10</v>
      </c>
      <c r="F12" s="6" t="n">
        <v>20</v>
      </c>
      <c r="G12" s="6" t="n">
        <v>18</v>
      </c>
      <c r="H12" s="6">
        <f>E12+F12-G12</f>
        <v/>
      </c>
      <c r="I12" s="6" t="n">
        <v>5</v>
      </c>
      <c r="J12" s="6">
        <f>IF(H12&lt;I12,"Low Stock","OK")</f>
        <v/>
      </c>
      <c r="K12" s="5" t="n">
        <v>45682</v>
      </c>
    </row>
    <row r="13">
      <c r="A13" s="3" t="inlineStr">
        <is>
          <t>AC012</t>
        </is>
      </c>
      <c r="B13" s="3" t="inlineStr">
        <is>
          <t>Sponge Pack</t>
        </is>
      </c>
      <c r="C13" s="3" t="inlineStr">
        <is>
          <t>Cloths &amp; Wipes</t>
        </is>
      </c>
      <c r="D13" s="3" t="inlineStr">
        <is>
          <t>Packs</t>
        </is>
      </c>
      <c r="E13" s="3" t="n">
        <v>20</v>
      </c>
      <c r="F13" s="3" t="n">
        <v>35</v>
      </c>
      <c r="G13" s="3" t="n">
        <v>30</v>
      </c>
      <c r="H13" s="3">
        <f>E13+F13-G13</f>
        <v/>
      </c>
      <c r="I13" s="3" t="n">
        <v>10</v>
      </c>
      <c r="J13" s="3">
        <f>IF(H13&lt;I13,"Low Stock","OK")</f>
        <v/>
      </c>
      <c r="K13" s="8" t="n">
        <v>45682</v>
      </c>
    </row>
    <row r="14">
      <c r="A14" s="6" t="inlineStr">
        <is>
          <t>AC013</t>
        </is>
      </c>
      <c r="B14" s="6" t="inlineStr">
        <is>
          <t>Squeegee</t>
        </is>
      </c>
      <c r="C14" s="6" t="inlineStr">
        <is>
          <t>Brushes &amp; Mops</t>
        </is>
      </c>
      <c r="D14" s="6" t="inlineStr">
        <is>
          <t>Pieces</t>
        </is>
      </c>
      <c r="E14" s="6" t="n">
        <v>12</v>
      </c>
      <c r="F14" s="6" t="n">
        <v>18</v>
      </c>
      <c r="G14" s="6" t="n">
        <v>15</v>
      </c>
      <c r="H14" s="6">
        <f>E14+F14-G14</f>
        <v/>
      </c>
      <c r="I14" s="6" t="n">
        <v>6</v>
      </c>
      <c r="J14" s="6">
        <f>IF(H14&lt;I14,"Low Stock","OK")</f>
        <v/>
      </c>
      <c r="K14" s="5" t="n">
        <v>45682</v>
      </c>
    </row>
    <row r="15">
      <c r="A15" s="3" t="inlineStr">
        <is>
          <t>AC014</t>
        </is>
      </c>
      <c r="B15" s="3" t="inlineStr">
        <is>
          <t>Wire Brush</t>
        </is>
      </c>
      <c r="C15" s="3" t="inlineStr">
        <is>
          <t>Brushes &amp; Mops</t>
        </is>
      </c>
      <c r="D15" s="3" t="inlineStr">
        <is>
          <t>Pieces</t>
        </is>
      </c>
      <c r="E15" s="3" t="n">
        <v>15</v>
      </c>
      <c r="F15" s="3" t="n">
        <v>20</v>
      </c>
      <c r="G15" s="3" t="n">
        <v>22</v>
      </c>
      <c r="H15" s="3">
        <f>E15+F15-G15</f>
        <v/>
      </c>
      <c r="I15" s="3" t="n">
        <v>8</v>
      </c>
      <c r="J15" s="3">
        <f>IF(H15&lt;I15,"Low Stock","OK")</f>
        <v/>
      </c>
      <c r="K15" s="8" t="n">
        <v>45682</v>
      </c>
    </row>
    <row r="16">
      <c r="A16" s="6" t="inlineStr">
        <is>
          <t>AC015</t>
        </is>
      </c>
      <c r="B16" s="6" t="inlineStr">
        <is>
          <t>Tarpaulin Sheet</t>
        </is>
      </c>
      <c r="C16" s="6" t="inlineStr">
        <is>
          <t>Other</t>
        </is>
      </c>
      <c r="D16" s="6" t="inlineStr">
        <is>
          <t>Pieces</t>
        </is>
      </c>
      <c r="E16" s="6" t="n">
        <v>8</v>
      </c>
      <c r="F16" s="6" t="n">
        <v>12</v>
      </c>
      <c r="G16" s="6" t="n">
        <v>10</v>
      </c>
      <c r="H16" s="6">
        <f>E16+F16-G16</f>
        <v/>
      </c>
      <c r="I16" s="6" t="n">
        <v>4</v>
      </c>
      <c r="J16" s="6">
        <f>IF(H16&lt;I16,"Low Stock","OK")</f>
        <v/>
      </c>
      <c r="K16" s="5" t="n">
        <v>45682</v>
      </c>
    </row>
  </sheetData>
  <conditionalFormatting sqref="J2:J1000">
    <cfRule type="expression" priority="1" dxfId="0">
      <formula>J2="Low Stock"</formula>
    </cfRule>
    <cfRule type="expression" priority="2" dxfId="1">
      <formula>J2="OK"</formula>
    </cfRule>
  </conditionalFormatting>
  <dataValidations count="1">
    <dataValidation sqref="C2:C1000" showDropDown="0" showInputMessage="0" showErrorMessage="0" allowBlank="1" type="list">
      <formula1>"Pipes &amp; Hoses,Brushes &amp; Mops,Cloths &amp; Wipes,Gloves &amp; Safety,Tools,Other"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Date</t>
        </is>
      </c>
      <c r="B1" s="2" t="inlineStr">
        <is>
          <t>Transaction ID</t>
        </is>
      </c>
      <c r="C1" s="2" t="inlineStr">
        <is>
          <t>Item Type</t>
        </is>
      </c>
      <c r="D1" s="2" t="inlineStr">
        <is>
          <t>Item ID</t>
        </is>
      </c>
      <c r="E1" s="2" t="inlineStr">
        <is>
          <t>Item Name</t>
        </is>
      </c>
      <c r="F1" s="2" t="inlineStr">
        <is>
          <t>Transaction Type</t>
        </is>
      </c>
      <c r="G1" s="2" t="inlineStr">
        <is>
          <t>Quantity</t>
        </is>
      </c>
      <c r="H1" s="2" t="inlineStr">
        <is>
          <t>Unit Cost (₹)</t>
        </is>
      </c>
      <c r="I1" s="2" t="inlineStr">
        <is>
          <t>Total Cost (₹)</t>
        </is>
      </c>
      <c r="J1" s="2" t="inlineStr">
        <is>
          <t>Project/Team</t>
        </is>
      </c>
      <c r="K1" s="2" t="inlineStr">
        <is>
          <t>Notes</t>
        </is>
      </c>
    </row>
    <row r="2">
      <c r="A2" s="5" t="n">
        <v>45659</v>
      </c>
      <c r="B2" s="6" t="inlineStr">
        <is>
          <t>TXN001</t>
        </is>
      </c>
      <c r="C2" s="6" t="inlineStr">
        <is>
          <t>Chemical</t>
        </is>
      </c>
      <c r="D2" s="6" t="inlineStr">
        <is>
          <t>CH001</t>
        </is>
      </c>
      <c r="E2" s="6" t="inlineStr">
        <is>
          <t>Floor Cleaner</t>
        </is>
      </c>
      <c r="F2" s="6" t="inlineStr">
        <is>
          <t>Purchase</t>
        </is>
      </c>
      <c r="G2" s="6" t="n">
        <v>50</v>
      </c>
      <c r="H2" s="7" t="n">
        <v>120</v>
      </c>
      <c r="I2" s="7">
        <f>G2*H2</f>
        <v/>
      </c>
      <c r="J2" s="6" t="inlineStr">
        <is>
          <t>Warehouse</t>
        </is>
      </c>
      <c r="K2" s="6" t="inlineStr">
        <is>
          <t>Monthly stock</t>
        </is>
      </c>
    </row>
    <row r="3">
      <c r="A3" s="8" t="n">
        <v>45660</v>
      </c>
      <c r="B3" s="3" t="inlineStr">
        <is>
          <t>TXN002</t>
        </is>
      </c>
      <c r="C3" s="3" t="inlineStr">
        <is>
          <t>Chemical</t>
        </is>
      </c>
      <c r="D3" s="3" t="inlineStr">
        <is>
          <t>CH004</t>
        </is>
      </c>
      <c r="E3" s="3" t="inlineStr">
        <is>
          <t>Pesticide Spray</t>
        </is>
      </c>
      <c r="F3" s="3" t="inlineStr">
        <is>
          <t>Purchase</t>
        </is>
      </c>
      <c r="G3" s="3" t="n">
        <v>25</v>
      </c>
      <c r="H3" s="9" t="n">
        <v>350</v>
      </c>
      <c r="I3" s="9">
        <f>G3*H3</f>
        <v/>
      </c>
      <c r="J3" s="3" t="inlineStr">
        <is>
          <t>Warehouse</t>
        </is>
      </c>
      <c r="K3" s="3" t="inlineStr"/>
    </row>
    <row r="4">
      <c r="A4" s="5" t="n">
        <v>45662</v>
      </c>
      <c r="B4" s="6" t="inlineStr">
        <is>
          <t>TXN003</t>
        </is>
      </c>
      <c r="C4" s="6" t="inlineStr">
        <is>
          <t>Accessory</t>
        </is>
      </c>
      <c r="D4" s="6" t="inlineStr">
        <is>
          <t>AC004</t>
        </is>
      </c>
      <c r="E4" s="6" t="inlineStr">
        <is>
          <t>Microfiber Cloth</t>
        </is>
      </c>
      <c r="F4" s="6" t="inlineStr">
        <is>
          <t>Purchase</t>
        </is>
      </c>
      <c r="G4" s="6" t="n">
        <v>50</v>
      </c>
      <c r="H4" s="7" t="n">
        <v>80</v>
      </c>
      <c r="I4" s="7">
        <f>G4*H4</f>
        <v/>
      </c>
      <c r="J4" s="6" t="inlineStr">
        <is>
          <t>Warehouse</t>
        </is>
      </c>
      <c r="K4" s="6" t="inlineStr">
        <is>
          <t>Bulk order</t>
        </is>
      </c>
    </row>
    <row r="5">
      <c r="A5" s="8" t="n">
        <v>45663</v>
      </c>
      <c r="B5" s="3" t="inlineStr">
        <is>
          <t>TXN004</t>
        </is>
      </c>
      <c r="C5" s="3" t="inlineStr">
        <is>
          <t>Chemical</t>
        </is>
      </c>
      <c r="D5" s="3" t="inlineStr">
        <is>
          <t>CH001</t>
        </is>
      </c>
      <c r="E5" s="3" t="inlineStr">
        <is>
          <t>Floor Cleaner</t>
        </is>
      </c>
      <c r="F5" s="3" t="inlineStr">
        <is>
          <t>Used</t>
        </is>
      </c>
      <c r="G5" s="3" t="n">
        <v>20</v>
      </c>
      <c r="H5" s="9" t="n">
        <v>0</v>
      </c>
      <c r="I5" s="9">
        <f>G5*H5</f>
        <v/>
      </c>
      <c r="J5" s="3" t="inlineStr">
        <is>
          <t>Team A</t>
        </is>
      </c>
      <c r="K5" s="3" t="inlineStr">
        <is>
          <t>Green Valley project</t>
        </is>
      </c>
    </row>
    <row r="6">
      <c r="A6" s="5" t="n">
        <v>45664</v>
      </c>
      <c r="B6" s="6" t="inlineStr">
        <is>
          <t>TXN005</t>
        </is>
      </c>
      <c r="C6" s="6" t="inlineStr">
        <is>
          <t>Accessory</t>
        </is>
      </c>
      <c r="D6" s="6" t="inlineStr">
        <is>
          <t>AC005</t>
        </is>
      </c>
      <c r="E6" s="6" t="inlineStr">
        <is>
          <t>Rubber Gloves</t>
        </is>
      </c>
      <c r="F6" s="6" t="inlineStr">
        <is>
          <t>Used</t>
        </is>
      </c>
      <c r="G6" s="6" t="n">
        <v>10</v>
      </c>
      <c r="H6" s="7" t="n">
        <v>0</v>
      </c>
      <c r="I6" s="7">
        <f>G6*H6</f>
        <v/>
      </c>
      <c r="J6" s="6" t="inlineStr">
        <is>
          <t>Team B</t>
        </is>
      </c>
      <c r="K6" s="6" t="inlineStr"/>
    </row>
    <row r="7">
      <c r="A7" s="8" t="n">
        <v>45665</v>
      </c>
      <c r="B7" s="3" t="inlineStr">
        <is>
          <t>TXN006</t>
        </is>
      </c>
      <c r="C7" s="3" t="inlineStr">
        <is>
          <t>Chemical</t>
        </is>
      </c>
      <c r="D7" s="3" t="inlineStr">
        <is>
          <t>CH002</t>
        </is>
      </c>
      <c r="E7" s="3" t="inlineStr">
        <is>
          <t>Glass Cleaner</t>
        </is>
      </c>
      <c r="F7" s="3" t="inlineStr">
        <is>
          <t>Purchase</t>
        </is>
      </c>
      <c r="G7" s="3" t="n">
        <v>25</v>
      </c>
      <c r="H7" s="9" t="n">
        <v>95</v>
      </c>
      <c r="I7" s="9">
        <f>G7*H7</f>
        <v/>
      </c>
      <c r="J7" s="3" t="inlineStr">
        <is>
          <t>Warehouse</t>
        </is>
      </c>
      <c r="K7" s="3" t="inlineStr"/>
    </row>
    <row r="8">
      <c r="A8" s="5" t="n">
        <v>45667</v>
      </c>
      <c r="B8" s="6" t="inlineStr">
        <is>
          <t>TXN007</t>
        </is>
      </c>
      <c r="C8" s="6" t="inlineStr">
        <is>
          <t>Accessory</t>
        </is>
      </c>
      <c r="D8" s="6" t="inlineStr">
        <is>
          <t>AC002</t>
        </is>
      </c>
      <c r="E8" s="6" t="inlineStr">
        <is>
          <t>Floor Mop</t>
        </is>
      </c>
      <c r="F8" s="6" t="inlineStr">
        <is>
          <t>Damaged</t>
        </is>
      </c>
      <c r="G8" s="6" t="n">
        <v>2</v>
      </c>
      <c r="H8" s="7" t="n">
        <v>0</v>
      </c>
      <c r="I8" s="7">
        <f>G8*H8</f>
        <v/>
      </c>
      <c r="J8" s="6" t="inlineStr">
        <is>
          <t>Team A</t>
        </is>
      </c>
      <c r="K8" s="6" t="inlineStr">
        <is>
          <t>Worn out</t>
        </is>
      </c>
    </row>
    <row r="9">
      <c r="A9" s="8" t="n">
        <v>45668</v>
      </c>
      <c r="B9" s="3" t="inlineStr">
        <is>
          <t>TXN008</t>
        </is>
      </c>
      <c r="C9" s="3" t="inlineStr">
        <is>
          <t>Chemical</t>
        </is>
      </c>
      <c r="D9" s="3" t="inlineStr">
        <is>
          <t>CH007</t>
        </is>
      </c>
      <c r="E9" s="3" t="inlineStr">
        <is>
          <t>Surface Disinfectant</t>
        </is>
      </c>
      <c r="F9" s="3" t="inlineStr">
        <is>
          <t>Used</t>
        </is>
      </c>
      <c r="G9" s="3" t="n">
        <v>15</v>
      </c>
      <c r="H9" s="9" t="n">
        <v>0</v>
      </c>
      <c r="I9" s="9">
        <f>G9*H9</f>
        <v/>
      </c>
      <c r="J9" s="3" t="inlineStr">
        <is>
          <t>Team C</t>
        </is>
      </c>
      <c r="K9" s="3" t="inlineStr">
        <is>
          <t>Hospital contract</t>
        </is>
      </c>
    </row>
    <row r="10">
      <c r="A10" s="5" t="n">
        <v>45669</v>
      </c>
      <c r="B10" s="6" t="inlineStr">
        <is>
          <t>TXN009</t>
        </is>
      </c>
      <c r="C10" s="6" t="inlineStr">
        <is>
          <t>Accessory</t>
        </is>
      </c>
      <c r="D10" s="6" t="inlineStr">
        <is>
          <t>AC003</t>
        </is>
      </c>
      <c r="E10" s="6" t="inlineStr">
        <is>
          <t>Scrub Brush</t>
        </is>
      </c>
      <c r="F10" s="6" t="inlineStr">
        <is>
          <t>Purchase</t>
        </is>
      </c>
      <c r="G10" s="6" t="n">
        <v>20</v>
      </c>
      <c r="H10" s="7" t="n">
        <v>45</v>
      </c>
      <c r="I10" s="7">
        <f>G10*H10</f>
        <v/>
      </c>
      <c r="J10" s="6" t="inlineStr">
        <is>
          <t>Warehouse</t>
        </is>
      </c>
      <c r="K10" s="6" t="inlineStr"/>
    </row>
    <row r="11">
      <c r="A11" s="8" t="n">
        <v>45671</v>
      </c>
      <c r="B11" s="3" t="inlineStr">
        <is>
          <t>TXN010</t>
        </is>
      </c>
      <c r="C11" s="3" t="inlineStr">
        <is>
          <t>Chemical</t>
        </is>
      </c>
      <c r="D11" s="3" t="inlineStr">
        <is>
          <t>CH005</t>
        </is>
      </c>
      <c r="E11" s="3" t="inlineStr">
        <is>
          <t>Termite Solution</t>
        </is>
      </c>
      <c r="F11" s="3" t="inlineStr">
        <is>
          <t>Purchase</t>
        </is>
      </c>
      <c r="G11" s="3" t="n">
        <v>20</v>
      </c>
      <c r="H11" s="9" t="n">
        <v>850</v>
      </c>
      <c r="I11" s="9">
        <f>G11*H11</f>
        <v/>
      </c>
      <c r="J11" s="3" t="inlineStr">
        <is>
          <t>Warehouse</t>
        </is>
      </c>
      <c r="K11" s="3" t="inlineStr"/>
    </row>
    <row r="12">
      <c r="A12" s="5" t="n">
        <v>45672</v>
      </c>
      <c r="B12" s="6" t="inlineStr">
        <is>
          <t>TXN011</t>
        </is>
      </c>
      <c r="C12" s="6" t="inlineStr">
        <is>
          <t>Accessory</t>
        </is>
      </c>
      <c r="D12" s="6" t="inlineStr">
        <is>
          <t>AC001</t>
        </is>
      </c>
      <c r="E12" s="6" t="inlineStr">
        <is>
          <t>Rubber Hose (10m)</t>
        </is>
      </c>
      <c r="F12" s="6" t="inlineStr">
        <is>
          <t>Used</t>
        </is>
      </c>
      <c r="G12" s="6" t="n">
        <v>3</v>
      </c>
      <c r="H12" s="7" t="n">
        <v>0</v>
      </c>
      <c r="I12" s="7">
        <f>G12*H12</f>
        <v/>
      </c>
      <c r="J12" s="6" t="inlineStr">
        <is>
          <t>Pest Team</t>
        </is>
      </c>
      <c r="K12" s="6" t="inlineStr"/>
    </row>
    <row r="13">
      <c r="A13" s="8" t="n">
        <v>45673</v>
      </c>
      <c r="B13" s="3" t="inlineStr">
        <is>
          <t>TXN012</t>
        </is>
      </c>
      <c r="C13" s="3" t="inlineStr">
        <is>
          <t>Chemical</t>
        </is>
      </c>
      <c r="D13" s="3" t="inlineStr">
        <is>
          <t>CH003</t>
        </is>
      </c>
      <c r="E13" s="3" t="inlineStr">
        <is>
          <t>Toilet Cleaner</t>
        </is>
      </c>
      <c r="F13" s="3" t="inlineStr">
        <is>
          <t>Used</t>
        </is>
      </c>
      <c r="G13" s="3" t="n">
        <v>25</v>
      </c>
      <c r="H13" s="9" t="n">
        <v>0</v>
      </c>
      <c r="I13" s="9">
        <f>G13*H13</f>
        <v/>
      </c>
      <c r="J13" s="3" t="inlineStr">
        <is>
          <t>Team B</t>
        </is>
      </c>
      <c r="K13" s="3" t="inlineStr"/>
    </row>
    <row r="14">
      <c r="A14" s="5" t="n">
        <v>45675</v>
      </c>
      <c r="B14" s="6" t="inlineStr">
        <is>
          <t>TXN013</t>
        </is>
      </c>
      <c r="C14" s="6" t="inlineStr">
        <is>
          <t>Accessory</t>
        </is>
      </c>
      <c r="D14" s="6" t="inlineStr">
        <is>
          <t>AC011</t>
        </is>
      </c>
      <c r="E14" s="6" t="inlineStr">
        <is>
          <t>Face Masks</t>
        </is>
      </c>
      <c r="F14" s="6" t="inlineStr">
        <is>
          <t>Purchase</t>
        </is>
      </c>
      <c r="G14" s="6" t="n">
        <v>10</v>
      </c>
      <c r="H14" s="7" t="n">
        <v>250</v>
      </c>
      <c r="I14" s="7">
        <f>G14*H14</f>
        <v/>
      </c>
      <c r="J14" s="6" t="inlineStr">
        <is>
          <t>Warehouse</t>
        </is>
      </c>
      <c r="K14" s="6" t="inlineStr"/>
    </row>
    <row r="15">
      <c r="A15" s="8" t="n">
        <v>45676</v>
      </c>
      <c r="B15" s="3" t="inlineStr">
        <is>
          <t>TXN014</t>
        </is>
      </c>
      <c r="C15" s="3" t="inlineStr">
        <is>
          <t>Chemical</t>
        </is>
      </c>
      <c r="D15" s="3" t="inlineStr">
        <is>
          <t>CH006</t>
        </is>
      </c>
      <c r="E15" s="3" t="inlineStr">
        <is>
          <t>Hand Sanitizer</t>
        </is>
      </c>
      <c r="F15" s="3" t="inlineStr">
        <is>
          <t>Used</t>
        </is>
      </c>
      <c r="G15" s="3" t="n">
        <v>8</v>
      </c>
      <c r="H15" s="9" t="n">
        <v>0</v>
      </c>
      <c r="I15" s="9">
        <f>G15*H15</f>
        <v/>
      </c>
      <c r="J15" s="3" t="inlineStr">
        <is>
          <t>All Teams</t>
        </is>
      </c>
      <c r="K15" s="3" t="inlineStr"/>
    </row>
    <row r="16">
      <c r="A16" s="5" t="n">
        <v>45677</v>
      </c>
      <c r="B16" s="6" t="inlineStr">
        <is>
          <t>TXN015</t>
        </is>
      </c>
      <c r="C16" s="6" t="inlineStr">
        <is>
          <t>Accessory</t>
        </is>
      </c>
      <c r="D16" s="6" t="inlineStr">
        <is>
          <t>AC007</t>
        </is>
      </c>
      <c r="E16" s="6" t="inlineStr">
        <is>
          <t>Spray Bottles</t>
        </is>
      </c>
      <c r="F16" s="6" t="inlineStr">
        <is>
          <t>Returned</t>
        </is>
      </c>
      <c r="G16" s="6" t="n">
        <v>3</v>
      </c>
      <c r="H16" s="7" t="n">
        <v>0</v>
      </c>
      <c r="I16" s="7">
        <f>G16*H16</f>
        <v/>
      </c>
      <c r="J16" s="6" t="inlineStr">
        <is>
          <t>Team A</t>
        </is>
      </c>
      <c r="K16" s="6" t="inlineStr">
        <is>
          <t>Extra stock</t>
        </is>
      </c>
    </row>
    <row r="17">
      <c r="A17" s="8" t="n">
        <v>45678</v>
      </c>
      <c r="B17" s="3" t="inlineStr">
        <is>
          <t>TXN016</t>
        </is>
      </c>
      <c r="C17" s="3" t="inlineStr">
        <is>
          <t>Chemical</t>
        </is>
      </c>
      <c r="D17" s="3" t="inlineStr">
        <is>
          <t>CH010</t>
        </is>
      </c>
      <c r="E17" s="3" t="inlineStr">
        <is>
          <t>Air Freshener</t>
        </is>
      </c>
      <c r="F17" s="3" t="inlineStr">
        <is>
          <t>Purchase</t>
        </is>
      </c>
      <c r="G17" s="3" t="n">
        <v>30</v>
      </c>
      <c r="H17" s="9" t="n">
        <v>180</v>
      </c>
      <c r="I17" s="9">
        <f>G17*H17</f>
        <v/>
      </c>
      <c r="J17" s="3" t="inlineStr">
        <is>
          <t>Warehouse</t>
        </is>
      </c>
      <c r="K17" s="3" t="inlineStr"/>
    </row>
    <row r="18">
      <c r="A18" s="5" t="n">
        <v>45679</v>
      </c>
      <c r="B18" s="6" t="inlineStr">
        <is>
          <t>TXN017</t>
        </is>
      </c>
      <c r="C18" s="6" t="inlineStr">
        <is>
          <t>Accessory</t>
        </is>
      </c>
      <c r="D18" s="6" t="inlineStr">
        <is>
          <t>AC006</t>
        </is>
      </c>
      <c r="E18" s="6" t="inlineStr">
        <is>
          <t>Safety Goggles</t>
        </is>
      </c>
      <c r="F18" s="6" t="inlineStr">
        <is>
          <t>Used</t>
        </is>
      </c>
      <c r="G18" s="6" t="n">
        <v>3</v>
      </c>
      <c r="H18" s="7" t="n">
        <v>0</v>
      </c>
      <c r="I18" s="7">
        <f>G18*H18</f>
        <v/>
      </c>
      <c r="J18" s="6" t="inlineStr">
        <is>
          <t>Painting Team</t>
        </is>
      </c>
      <c r="K18" s="6" t="inlineStr"/>
    </row>
    <row r="19">
      <c r="A19" s="8" t="n">
        <v>45680</v>
      </c>
      <c r="B19" s="3" t="inlineStr">
        <is>
          <t>TXN018</t>
        </is>
      </c>
      <c r="C19" s="3" t="inlineStr">
        <is>
          <t>Chemical</t>
        </is>
      </c>
      <c r="D19" s="3" t="inlineStr">
        <is>
          <t>CH008</t>
        </is>
      </c>
      <c r="E19" s="3" t="inlineStr">
        <is>
          <t>Degreaser</t>
        </is>
      </c>
      <c r="F19" s="3" t="inlineStr">
        <is>
          <t>Used</t>
        </is>
      </c>
      <c r="G19" s="3" t="n">
        <v>5</v>
      </c>
      <c r="H19" s="9" t="n">
        <v>0</v>
      </c>
      <c r="I19" s="9">
        <f>G19*H19</f>
        <v/>
      </c>
      <c r="J19" s="3" t="inlineStr">
        <is>
          <t>Team C</t>
        </is>
      </c>
      <c r="K19" s="3" t="inlineStr">
        <is>
          <t>Kitchen cleaning</t>
        </is>
      </c>
    </row>
    <row r="20">
      <c r="A20" s="5" t="n">
        <v>45681</v>
      </c>
      <c r="B20" s="6" t="inlineStr">
        <is>
          <t>TXN019</t>
        </is>
      </c>
      <c r="C20" s="6" t="inlineStr">
        <is>
          <t>Accessory</t>
        </is>
      </c>
      <c r="D20" s="6" t="inlineStr">
        <is>
          <t>AC012</t>
        </is>
      </c>
      <c r="E20" s="6" t="inlineStr">
        <is>
          <t>Sponge Pack</t>
        </is>
      </c>
      <c r="F20" s="6" t="inlineStr">
        <is>
          <t>Purchase</t>
        </is>
      </c>
      <c r="G20" s="6" t="n">
        <v>15</v>
      </c>
      <c r="H20" s="7" t="n">
        <v>120</v>
      </c>
      <c r="I20" s="7">
        <f>G20*H20</f>
        <v/>
      </c>
      <c r="J20" s="6" t="inlineStr">
        <is>
          <t>Warehouse</t>
        </is>
      </c>
      <c r="K20" s="6" t="inlineStr"/>
    </row>
    <row r="21">
      <c r="A21" s="8" t="n">
        <v>45682</v>
      </c>
      <c r="B21" s="3" t="inlineStr">
        <is>
          <t>TXN020</t>
        </is>
      </c>
      <c r="C21" s="3" t="inlineStr">
        <is>
          <t>Chemical</t>
        </is>
      </c>
      <c r="D21" s="3" t="inlineStr">
        <is>
          <t>CH011</t>
        </is>
      </c>
      <c r="E21" s="3" t="inlineStr">
        <is>
          <t>Cockroach Gel</t>
        </is>
      </c>
      <c r="F21" s="3" t="inlineStr">
        <is>
          <t>Used</t>
        </is>
      </c>
      <c r="G21" s="3" t="n">
        <v>8</v>
      </c>
      <c r="H21" s="9" t="n">
        <v>0</v>
      </c>
      <c r="I21" s="9">
        <f>G21*H21</f>
        <v/>
      </c>
      <c r="J21" s="3" t="inlineStr">
        <is>
          <t>Pest Team</t>
        </is>
      </c>
      <c r="K21" s="3" t="inlineStr"/>
    </row>
  </sheetData>
  <dataValidations count="2">
    <dataValidation sqref="C2:C1000" showDropDown="0" showInputMessage="0" showErrorMessage="0" allowBlank="1" type="list">
      <formula1>"Chemical,Accessory,Machine"</formula1>
    </dataValidation>
    <dataValidation sqref="F2:F1000" showDropDown="0" showInputMessage="0" showErrorMessage="0" allowBlank="1" type="list">
      <formula1>"Purchase,Used,Returned,Damaged"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5" customWidth="1" min="4" max="4"/>
  </cols>
  <sheetData>
    <row r="1">
      <c r="A1" s="10" t="inlineStr">
        <is>
          <t>INCOME SUMMARY REPORT</t>
        </is>
      </c>
    </row>
    <row r="3">
      <c r="A3" s="11" t="inlineStr">
        <is>
          <t>SERVICE-WISE REVENUE</t>
        </is>
      </c>
    </row>
    <row r="4">
      <c r="A4" s="2" t="inlineStr">
        <is>
          <t>Service Type</t>
        </is>
      </c>
      <c r="B4" s="2" t="inlineStr">
        <is>
          <t>Total Revenue (₹)</t>
        </is>
      </c>
      <c r="C4" s="2" t="inlineStr">
        <is>
          <t>Order Count</t>
        </is>
      </c>
      <c r="D4" s="2" t="inlineStr">
        <is>
          <t>Avg Order Value</t>
        </is>
      </c>
    </row>
    <row r="5">
      <c r="A5" s="3" t="inlineStr">
        <is>
          <t>Deep Cleaning</t>
        </is>
      </c>
      <c r="B5" s="9">
        <f>SUMIF('Income Tracker'!D:D,A5,'Income Tracker'!G:G)</f>
        <v/>
      </c>
      <c r="C5" s="3">
        <f>COUNTIF('Income Tracker'!D:D,A5)</f>
        <v/>
      </c>
      <c r="D5" s="9">
        <f>IF(C5&gt;0,B5/C5,0)</f>
        <v/>
      </c>
    </row>
    <row r="6">
      <c r="A6" s="6" t="inlineStr">
        <is>
          <t>Regular Cleaning</t>
        </is>
      </c>
      <c r="B6" s="7">
        <f>SUMIF('Income Tracker'!D:D,A6,'Income Tracker'!G:G)</f>
        <v/>
      </c>
      <c r="C6" s="6">
        <f>COUNTIF('Income Tracker'!D:D,A6)</f>
        <v/>
      </c>
      <c r="D6" s="7">
        <f>IF(C6&gt;0,B6/C6,0)</f>
        <v/>
      </c>
    </row>
    <row r="7">
      <c r="A7" s="3" t="inlineStr">
        <is>
          <t>Pest Control</t>
        </is>
      </c>
      <c r="B7" s="9">
        <f>SUMIF('Income Tracker'!D:D,A7,'Income Tracker'!G:G)</f>
        <v/>
      </c>
      <c r="C7" s="3">
        <f>COUNTIF('Income Tracker'!D:D,A7)</f>
        <v/>
      </c>
      <c r="D7" s="9">
        <f>IF(C7&gt;0,B7/C7,0)</f>
        <v/>
      </c>
    </row>
    <row r="8">
      <c r="A8" s="6" t="inlineStr">
        <is>
          <t>Painting</t>
        </is>
      </c>
      <c r="B8" s="7">
        <f>SUMIF('Income Tracker'!D:D,A8,'Income Tracker'!G:G)</f>
        <v/>
      </c>
      <c r="C8" s="6">
        <f>COUNTIF('Income Tracker'!D:D,A8)</f>
        <v/>
      </c>
      <c r="D8" s="7">
        <f>IF(C8&gt;0,B8/C8,0)</f>
        <v/>
      </c>
    </row>
    <row r="9">
      <c r="A9" s="3" t="inlineStr">
        <is>
          <t>Plumbing</t>
        </is>
      </c>
      <c r="B9" s="9">
        <f>SUMIF('Income Tracker'!D:D,A9,'Income Tracker'!G:G)</f>
        <v/>
      </c>
      <c r="C9" s="3">
        <f>COUNTIF('Income Tracker'!D:D,A9)</f>
        <v/>
      </c>
      <c r="D9" s="9">
        <f>IF(C9&gt;0,B9/C9,0)</f>
        <v/>
      </c>
    </row>
    <row r="10">
      <c r="A10" s="6" t="inlineStr">
        <is>
          <t>Electrical</t>
        </is>
      </c>
      <c r="B10" s="7">
        <f>SUMIF('Income Tracker'!D:D,A10,'Income Tracker'!G:G)</f>
        <v/>
      </c>
      <c r="C10" s="6">
        <f>COUNTIF('Income Tracker'!D:D,A10)</f>
        <v/>
      </c>
      <c r="D10" s="7">
        <f>IF(C10&gt;0,B10/C10,0)</f>
        <v/>
      </c>
    </row>
    <row r="11">
      <c r="A11" s="3" t="inlineStr">
        <is>
          <t>Carpentry</t>
        </is>
      </c>
      <c r="B11" s="9">
        <f>SUMIF('Income Tracker'!D:D,A11,'Income Tracker'!G:G)</f>
        <v/>
      </c>
      <c r="C11" s="3">
        <f>COUNTIF('Income Tracker'!D:D,A11)</f>
        <v/>
      </c>
      <c r="D11" s="9">
        <f>IF(C11&gt;0,B11/C11,0)</f>
        <v/>
      </c>
    </row>
    <row r="12">
      <c r="A12" s="6" t="inlineStr">
        <is>
          <t>AC Service</t>
        </is>
      </c>
      <c r="B12" s="7">
        <f>SUMIF('Income Tracker'!D:D,A12,'Income Tracker'!G:G)</f>
        <v/>
      </c>
      <c r="C12" s="6">
        <f>COUNTIF('Income Tracker'!D:D,A12)</f>
        <v/>
      </c>
      <c r="D12" s="7">
        <f>IF(C12&gt;0,B12/C12,0)</f>
        <v/>
      </c>
    </row>
    <row r="13">
      <c r="A13" s="12" t="inlineStr">
        <is>
          <t>TOTAL</t>
        </is>
      </c>
      <c r="B13" s="13">
        <f>SUM(B5:B12)</f>
        <v/>
      </c>
      <c r="C13" s="12">
        <f>SUM(C5:C12)</f>
        <v/>
      </c>
      <c r="D13" s="3" t="n"/>
    </row>
    <row r="16">
      <c r="A16" s="11" t="inlineStr">
        <is>
          <t>PROJECT TYPE REVENUE</t>
        </is>
      </c>
    </row>
    <row r="17">
      <c r="A17" s="2" t="inlineStr">
        <is>
          <t>Project Type</t>
        </is>
      </c>
      <c r="B17" s="2" t="inlineStr">
        <is>
          <t>Total Revenue (₹)</t>
        </is>
      </c>
      <c r="C17" s="2" t="inlineStr">
        <is>
          <t>Order Count</t>
        </is>
      </c>
    </row>
    <row r="18">
      <c r="A18" s="6" t="inlineStr">
        <is>
          <t>Individual</t>
        </is>
      </c>
      <c r="B18" s="7">
        <f>SUMIF('Income Tracker'!E:E,A18,'Income Tracker'!G:G)</f>
        <v/>
      </c>
      <c r="C18" s="6">
        <f>COUNTIF('Income Tracker'!E:E,A18)</f>
        <v/>
      </c>
    </row>
    <row r="19">
      <c r="A19" s="3" t="inlineStr">
        <is>
          <t>Apartment Bulk</t>
        </is>
      </c>
      <c r="B19" s="9">
        <f>SUMIF('Income Tracker'!E:E,A19,'Income Tracker'!G:G)</f>
        <v/>
      </c>
      <c r="C19" s="3">
        <f>COUNTIF('Income Tracker'!E:E,A19)</f>
        <v/>
      </c>
    </row>
    <row r="20">
      <c r="A20" s="6" t="inlineStr">
        <is>
          <t>Commercial</t>
        </is>
      </c>
      <c r="B20" s="7">
        <f>SUMIF('Income Tracker'!E:E,A20,'Income Tracker'!G:G)</f>
        <v/>
      </c>
      <c r="C20" s="6">
        <f>COUNTIF('Income Tracker'!E:E,A20)</f>
        <v/>
      </c>
    </row>
    <row r="23">
      <c r="A23" s="11" t="inlineStr">
        <is>
          <t>PAYMENT STATUS</t>
        </is>
      </c>
    </row>
    <row r="24">
      <c r="A24" s="2" t="inlineStr">
        <is>
          <t>Status</t>
        </is>
      </c>
      <c r="B24" s="2" t="inlineStr">
        <is>
          <t>Amount (₹)</t>
        </is>
      </c>
      <c r="C24" s="2" t="inlineStr">
        <is>
          <t>Count</t>
        </is>
      </c>
    </row>
    <row r="25">
      <c r="A25" s="3" t="inlineStr">
        <is>
          <t>Received</t>
        </is>
      </c>
      <c r="B25" s="9">
        <f>SUMIF('Income Tracker'!I:I,"Received",'Income Tracker'!G:G)</f>
        <v/>
      </c>
      <c r="C25" s="3">
        <f>COUNTIF('Income Tracker'!I:I,"Received")</f>
        <v/>
      </c>
    </row>
    <row r="26">
      <c r="A26" s="6" t="inlineStr">
        <is>
          <t>Pending</t>
        </is>
      </c>
      <c r="B26" s="7">
        <f>SUMIF('Income Tracker'!I:I,"Pending",'Income Tracker'!G:G)</f>
        <v/>
      </c>
      <c r="C26" s="6">
        <f>COUNTIF('Income Tracker'!I:I,"Pending")</f>
        <v/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</cols>
  <sheetData>
    <row r="1">
      <c r="A1" s="10" t="inlineStr">
        <is>
          <t>EXPENSE SUMMARY REPORT</t>
        </is>
      </c>
    </row>
    <row r="3">
      <c r="A3" s="11" t="inlineStr">
        <is>
          <t>CATEGORY-WISE EXPENSES</t>
        </is>
      </c>
    </row>
    <row r="4">
      <c r="A4" s="2" t="inlineStr">
        <is>
          <t>Category</t>
        </is>
      </c>
      <c r="B4" s="2" t="inlineStr">
        <is>
          <t>Total Amount (₹)</t>
        </is>
      </c>
      <c r="C4" s="2" t="inlineStr">
        <is>
          <t>Transaction Count</t>
        </is>
      </c>
      <c r="D4" s="2" t="inlineStr">
        <is>
          <t>Avg Transaction</t>
        </is>
      </c>
    </row>
    <row r="5">
      <c r="A5" s="3" t="inlineStr">
        <is>
          <t>Staff Salary</t>
        </is>
      </c>
      <c r="B5" s="9">
        <f>SUMIF('Expense Tracker'!C:C,A5,'Expense Tracker'!F:F)</f>
        <v/>
      </c>
      <c r="C5" s="3">
        <f>COUNTIF('Expense Tracker'!C:C,A5)</f>
        <v/>
      </c>
      <c r="D5" s="9">
        <f>IF(C5&gt;0,B5/C5,0)</f>
        <v/>
      </c>
    </row>
    <row r="6">
      <c r="A6" s="6" t="inlineStr">
        <is>
          <t>Vendor Payment</t>
        </is>
      </c>
      <c r="B6" s="7">
        <f>SUMIF('Expense Tracker'!C:C,A6,'Expense Tracker'!F:F)</f>
        <v/>
      </c>
      <c r="C6" s="6">
        <f>COUNTIF('Expense Tracker'!C:C,A6)</f>
        <v/>
      </c>
      <c r="D6" s="7">
        <f>IF(C6&gt;0,B6/C6,0)</f>
        <v/>
      </c>
    </row>
    <row r="7">
      <c r="A7" s="3" t="inlineStr">
        <is>
          <t>Travel &amp; Fuel</t>
        </is>
      </c>
      <c r="B7" s="9">
        <f>SUMIF('Expense Tracker'!C:C,A7,'Expense Tracker'!F:F)</f>
        <v/>
      </c>
      <c r="C7" s="3">
        <f>COUNTIF('Expense Tracker'!C:C,A7)</f>
        <v/>
      </c>
      <c r="D7" s="9">
        <f>IF(C7&gt;0,B7/C7,0)</f>
        <v/>
      </c>
    </row>
    <row r="8">
      <c r="A8" s="6" t="inlineStr">
        <is>
          <t>Marketing</t>
        </is>
      </c>
      <c r="B8" s="7">
        <f>SUMIF('Expense Tracker'!C:C,A8,'Expense Tracker'!F:F)</f>
        <v/>
      </c>
      <c r="C8" s="6">
        <f>COUNTIF('Expense Tracker'!C:C,A8)</f>
        <v/>
      </c>
      <c r="D8" s="7">
        <f>IF(C8&gt;0,B8/C8,0)</f>
        <v/>
      </c>
    </row>
    <row r="9">
      <c r="A9" s="3" t="inlineStr">
        <is>
          <t>Office Expenses</t>
        </is>
      </c>
      <c r="B9" s="9">
        <f>SUMIF('Expense Tracker'!C:C,A9,'Expense Tracker'!F:F)</f>
        <v/>
      </c>
      <c r="C9" s="3">
        <f>COUNTIF('Expense Tracker'!C:C,A9)</f>
        <v/>
      </c>
      <c r="D9" s="9">
        <f>IF(C9&gt;0,B9/C9,0)</f>
        <v/>
      </c>
    </row>
    <row r="10">
      <c r="A10" s="6" t="inlineStr">
        <is>
          <t>Miscellaneous</t>
        </is>
      </c>
      <c r="B10" s="7">
        <f>SUMIF('Expense Tracker'!C:C,A10,'Expense Tracker'!F:F)</f>
        <v/>
      </c>
      <c r="C10" s="6">
        <f>COUNTIF('Expense Tracker'!C:C,A10)</f>
        <v/>
      </c>
      <c r="D10" s="7">
        <f>IF(C10&gt;0,B10/C10,0)</f>
        <v/>
      </c>
    </row>
    <row r="11">
      <c r="A11" s="12" t="inlineStr">
        <is>
          <t>TOTAL</t>
        </is>
      </c>
      <c r="B11" s="13">
        <f>SUM(B5:B10)</f>
        <v/>
      </c>
      <c r="C11" s="12">
        <f>SUM(C5:C10)</f>
        <v/>
      </c>
      <c r="D11" s="3" t="n"/>
    </row>
    <row r="14">
      <c r="A14" s="11" t="inlineStr">
        <is>
          <t>PAYMENT STATUS</t>
        </is>
      </c>
    </row>
    <row r="15">
      <c r="A15" s="2" t="inlineStr">
        <is>
          <t>Status</t>
        </is>
      </c>
      <c r="B15" s="2" t="inlineStr">
        <is>
          <t>Amount (₹)</t>
        </is>
      </c>
      <c r="C15" s="2" t="inlineStr">
        <is>
          <t>Count</t>
        </is>
      </c>
    </row>
    <row r="16">
      <c r="A16" s="6" t="inlineStr">
        <is>
          <t>Received</t>
        </is>
      </c>
      <c r="B16" s="7">
        <f>SUMIF('Expense Tracker'!H:H,"Received",'Expense Tracker'!F:F)</f>
        <v/>
      </c>
      <c r="C16" s="6">
        <f>COUNTIF('Expense Tracker'!H:H,"Received")</f>
        <v/>
      </c>
    </row>
    <row r="17">
      <c r="A17" s="3" t="inlineStr">
        <is>
          <t>Pending</t>
        </is>
      </c>
      <c r="B17" s="9">
        <f>SUMIF('Expense Tracker'!H:H,"Pending",'Expense Tracker'!F:F)</f>
        <v/>
      </c>
      <c r="C17" s="3">
        <f>COUNTIF('Expense Tracker'!H:H,"Pending")</f>
        <v/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</cols>
  <sheetData>
    <row r="1">
      <c r="A1" s="10" t="inlineStr">
        <is>
          <t>PROFITABILITY ANALYSIS</t>
        </is>
      </c>
    </row>
    <row r="3">
      <c r="A3" s="11" t="inlineStr">
        <is>
          <t>OVERALL PROFITABILITY</t>
        </is>
      </c>
    </row>
    <row r="4">
      <c r="A4" s="2" t="inlineStr">
        <is>
          <t>Metric</t>
        </is>
      </c>
      <c r="B4" s="2" t="inlineStr">
        <is>
          <t>Amount (₹)</t>
        </is>
      </c>
    </row>
    <row r="5">
      <c r="A5" s="3" t="inlineStr">
        <is>
          <t>Total Revenue</t>
        </is>
      </c>
      <c r="B5" s="9">
        <f>SUM('Income Tracker'!G:G)</f>
        <v/>
      </c>
    </row>
    <row r="6">
      <c r="A6" s="6" t="inlineStr">
        <is>
          <t>Total Expenses</t>
        </is>
      </c>
      <c r="B6" s="7">
        <f>SUM('Expense Tracker'!F:F)</f>
        <v/>
      </c>
    </row>
    <row r="7">
      <c r="A7" s="3" t="inlineStr">
        <is>
          <t>Gross Profit</t>
        </is>
      </c>
      <c r="B7" s="14">
        <f>B5-B6</f>
        <v/>
      </c>
    </row>
    <row r="8">
      <c r="A8" s="6" t="inlineStr">
        <is>
          <t>Profit Margin %</t>
        </is>
      </c>
      <c r="B8" s="15">
        <f>IF(B5&gt;0,B7/B5,0)</f>
        <v/>
      </c>
    </row>
    <row r="11">
      <c r="A11" s="11" t="inlineStr">
        <is>
          <t>SERVICE-WISE PROFITABILITY</t>
        </is>
      </c>
    </row>
    <row r="12">
      <c r="A12" s="2" t="inlineStr">
        <is>
          <t>Service</t>
        </is>
      </c>
      <c r="B12" s="2" t="inlineStr">
        <is>
          <t>Revenue (₹)</t>
        </is>
      </c>
      <c r="C12" s="2" t="inlineStr">
        <is>
          <t>% of Total</t>
        </is>
      </c>
    </row>
    <row r="13">
      <c r="A13" s="3" t="inlineStr">
        <is>
          <t>Deep Cleaning</t>
        </is>
      </c>
      <c r="B13" s="9">
        <f>SUMIF('Income Tracker'!D:D,A13,'Income Tracker'!G:G)</f>
        <v/>
      </c>
      <c r="C13" s="16">
        <f>IF($B$5&gt;0,B13/$B$5,0)</f>
        <v/>
      </c>
    </row>
    <row r="14">
      <c r="A14" s="6" t="inlineStr">
        <is>
          <t>Regular Cleaning</t>
        </is>
      </c>
      <c r="B14" s="7">
        <f>SUMIF('Income Tracker'!D:D,A14,'Income Tracker'!G:G)</f>
        <v/>
      </c>
      <c r="C14" s="15">
        <f>IF($B$5&gt;0,B14/$B$5,0)</f>
        <v/>
      </c>
    </row>
    <row r="15">
      <c r="A15" s="3" t="inlineStr">
        <is>
          <t>Pest Control</t>
        </is>
      </c>
      <c r="B15" s="9">
        <f>SUMIF('Income Tracker'!D:D,A15,'Income Tracker'!G:G)</f>
        <v/>
      </c>
      <c r="C15" s="16">
        <f>IF($B$5&gt;0,B15/$B$5,0)</f>
        <v/>
      </c>
    </row>
    <row r="16">
      <c r="A16" s="6" t="inlineStr">
        <is>
          <t>Painting</t>
        </is>
      </c>
      <c r="B16" s="7">
        <f>SUMIF('Income Tracker'!D:D,A16,'Income Tracker'!G:G)</f>
        <v/>
      </c>
      <c r="C16" s="15">
        <f>IF($B$5&gt;0,B16/$B$5,0)</f>
        <v/>
      </c>
    </row>
    <row r="17">
      <c r="A17" s="3" t="inlineStr">
        <is>
          <t>Plumbing</t>
        </is>
      </c>
      <c r="B17" s="9">
        <f>SUMIF('Income Tracker'!D:D,A17,'Income Tracker'!G:G)</f>
        <v/>
      </c>
      <c r="C17" s="16">
        <f>IF($B$5&gt;0,B17/$B$5,0)</f>
        <v/>
      </c>
    </row>
    <row r="18">
      <c r="A18" s="6" t="inlineStr">
        <is>
          <t>Electrical</t>
        </is>
      </c>
      <c r="B18" s="7">
        <f>SUMIF('Income Tracker'!D:D,A18,'Income Tracker'!G:G)</f>
        <v/>
      </c>
      <c r="C18" s="15">
        <f>IF($B$5&gt;0,B18/$B$5,0)</f>
        <v/>
      </c>
    </row>
    <row r="19">
      <c r="A19" s="3" t="inlineStr">
        <is>
          <t>Carpentry</t>
        </is>
      </c>
      <c r="B19" s="9">
        <f>SUMIF('Income Tracker'!D:D,A19,'Income Tracker'!G:G)</f>
        <v/>
      </c>
      <c r="C19" s="16">
        <f>IF($B$5&gt;0,B19/$B$5,0)</f>
        <v/>
      </c>
    </row>
    <row r="20">
      <c r="A20" s="6" t="inlineStr">
        <is>
          <t>AC Service</t>
        </is>
      </c>
      <c r="B20" s="7">
        <f>SUMIF('Income Tracker'!D:D,A20,'Income Tracker'!G:G)</f>
        <v/>
      </c>
      <c r="C20" s="15">
        <f>IF($B$5&gt;0,B20/$B$5,0)</f>
        <v/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5" customWidth="1" min="5" max="5"/>
  </cols>
  <sheetData>
    <row r="1">
      <c r="A1" s="10" t="inlineStr">
        <is>
          <t>STOCK &amp; INVENTORY REPORTS</t>
        </is>
      </c>
    </row>
    <row r="3">
      <c r="A3" s="17" t="inlineStr">
        <is>
          <t>LOW STOCK ALERTS</t>
        </is>
      </c>
    </row>
    <row r="4">
      <c r="A4" s="2" t="inlineStr">
        <is>
          <t>Item Type</t>
        </is>
      </c>
      <c r="B4" s="2" t="inlineStr">
        <is>
          <t>Item ID</t>
        </is>
      </c>
      <c r="C4" s="2" t="inlineStr">
        <is>
          <t>Item Name</t>
        </is>
      </c>
      <c r="D4" s="2" t="inlineStr">
        <is>
          <t>Current Stock</t>
        </is>
      </c>
      <c r="E4" s="2" t="inlineStr">
        <is>
          <t>Min Level</t>
        </is>
      </c>
    </row>
    <row r="5">
      <c r="A5" s="18" t="inlineStr">
        <is>
          <t>Chemicals with Low Stock:</t>
        </is>
      </c>
    </row>
    <row r="6">
      <c r="A6" s="19" t="inlineStr">
        <is>
          <t>(Check Chemicals Stock sheet - Status column shows 'Low Stock' items)</t>
        </is>
      </c>
    </row>
    <row r="8">
      <c r="A8" s="18" t="inlineStr">
        <is>
          <t>Accessories with Low Stock:</t>
        </is>
      </c>
    </row>
    <row r="9">
      <c r="A9" s="19" t="inlineStr">
        <is>
          <t>(Check Accessories Stock sheet - Status column shows 'Low Stock' items)</t>
        </is>
      </c>
    </row>
    <row r="12">
      <c r="A12" s="11" t="inlineStr">
        <is>
          <t>ASSET VALUE SUMMARY</t>
        </is>
      </c>
    </row>
    <row r="13">
      <c r="A13" s="2" t="inlineStr">
        <is>
          <t>Category</t>
        </is>
      </c>
      <c r="B13" s="2" t="inlineStr">
        <is>
          <t>Total Value (₹)</t>
        </is>
      </c>
      <c r="C13" s="2" t="inlineStr">
        <is>
          <t>Active Count</t>
        </is>
      </c>
      <c r="D13" s="2" t="inlineStr">
        <is>
          <t>Under Repair</t>
        </is>
      </c>
      <c r="E13" s="2" t="inlineStr">
        <is>
          <t>Retired</t>
        </is>
      </c>
    </row>
    <row r="14">
      <c r="A14" s="6" t="inlineStr">
        <is>
          <t>Cleaning Machine</t>
        </is>
      </c>
      <c r="B14" s="7">
        <f>SUMIF('Machines &amp; Equipment'!D:D,A14,'Machines &amp; Equipment'!F:F)</f>
        <v/>
      </c>
      <c r="C14" s="6">
        <f>COUNTIFS('Machines &amp; Equipment'!D:D,A14,'Machines &amp; Equipment'!G:G,"Active")</f>
        <v/>
      </c>
      <c r="D14" s="6">
        <f>COUNTIFS('Machines &amp; Equipment'!D:D,A14,'Machines &amp; Equipment'!G:G,"Under Repair")</f>
        <v/>
      </c>
      <c r="E14" s="6">
        <f>COUNTIFS('Machines &amp; Equipment'!D:D,A14,'Machines &amp; Equipment'!G:G,"Retired")</f>
        <v/>
      </c>
    </row>
    <row r="15">
      <c r="A15" s="3" t="inlineStr">
        <is>
          <t>Spray Equipment</t>
        </is>
      </c>
      <c r="B15" s="9">
        <f>SUMIF('Machines &amp; Equipment'!D:D,A15,'Machines &amp; Equipment'!F:F)</f>
        <v/>
      </c>
      <c r="C15" s="3">
        <f>COUNTIFS('Machines &amp; Equipment'!D:D,A15,'Machines &amp; Equipment'!G:G,"Active")</f>
        <v/>
      </c>
      <c r="D15" s="3">
        <f>COUNTIFS('Machines &amp; Equipment'!D:D,A15,'Machines &amp; Equipment'!G:G,"Under Repair")</f>
        <v/>
      </c>
      <c r="E15" s="3">
        <f>COUNTIFS('Machines &amp; Equipment'!D:D,A15,'Machines &amp; Equipment'!G:G,"Retired")</f>
        <v/>
      </c>
    </row>
    <row r="16">
      <c r="A16" s="6" t="inlineStr">
        <is>
          <t>Power Tools</t>
        </is>
      </c>
      <c r="B16" s="7">
        <f>SUMIF('Machines &amp; Equipment'!D:D,A16,'Machines &amp; Equipment'!F:F)</f>
        <v/>
      </c>
      <c r="C16" s="6">
        <f>COUNTIFS('Machines &amp; Equipment'!D:D,A16,'Machines &amp; Equipment'!G:G,"Active")</f>
        <v/>
      </c>
      <c r="D16" s="6">
        <f>COUNTIFS('Machines &amp; Equipment'!D:D,A16,'Machines &amp; Equipment'!G:G,"Under Repair")</f>
        <v/>
      </c>
      <c r="E16" s="6">
        <f>COUNTIFS('Machines &amp; Equipment'!D:D,A16,'Machines &amp; Equipment'!G:G,"Retired")</f>
        <v/>
      </c>
    </row>
    <row r="17">
      <c r="A17" s="3" t="inlineStr">
        <is>
          <t>Safety Equipment</t>
        </is>
      </c>
      <c r="B17" s="9">
        <f>SUMIF('Machines &amp; Equipment'!D:D,A17,'Machines &amp; Equipment'!F:F)</f>
        <v/>
      </c>
      <c r="C17" s="3">
        <f>COUNTIFS('Machines &amp; Equipment'!D:D,A17,'Machines &amp; Equipment'!G:G,"Active")</f>
        <v/>
      </c>
      <c r="D17" s="3">
        <f>COUNTIFS('Machines &amp; Equipment'!D:D,A17,'Machines &amp; Equipment'!G:G,"Under Repair")</f>
        <v/>
      </c>
      <c r="E17" s="3">
        <f>COUNTIFS('Machines &amp; Equipment'!D:D,A17,'Machines &amp; Equipment'!G:G,"Retired")</f>
        <v/>
      </c>
    </row>
    <row r="18">
      <c r="A18" s="20" t="inlineStr">
        <is>
          <t>TOTAL ASSET VALUE</t>
        </is>
      </c>
      <c r="B18" s="21">
        <f>SUM('Machines &amp; Equipment'!F:F)</f>
        <v/>
      </c>
      <c r="C18" s="6">
        <f>COUNTIF('Machines &amp; Equipment'!G:G,"Active")</f>
        <v/>
      </c>
      <c r="D18" s="6">
        <f>COUNTIF('Machines &amp; Equipment'!G:G,"Under Repair")</f>
        <v/>
      </c>
      <c r="E18" s="6">
        <f>COUNTIF('Machines &amp; Equipment'!G:G,"Retired")</f>
        <v/>
      </c>
    </row>
    <row r="21">
      <c r="A21" s="11" t="inlineStr">
        <is>
          <t>MAINTENANCE COST SUMMARY</t>
        </is>
      </c>
    </row>
    <row r="22">
      <c r="A22" s="2" t="inlineStr">
        <is>
          <t>Maintenance Type</t>
        </is>
      </c>
      <c r="B22" s="2" t="inlineStr">
        <is>
          <t>Total Cost (₹)</t>
        </is>
      </c>
      <c r="C22" s="2" t="inlineStr">
        <is>
          <t>Count</t>
        </is>
      </c>
    </row>
    <row r="23">
      <c r="A23" s="3" t="inlineStr">
        <is>
          <t>Repair</t>
        </is>
      </c>
      <c r="B23" s="9">
        <f>SUMIF('Machine Maintenance'!D:D,A23,'Machine Maintenance'!F:F)</f>
        <v/>
      </c>
      <c r="C23" s="3">
        <f>COUNTIF('Machine Maintenance'!D:D,A23)</f>
        <v/>
      </c>
    </row>
    <row r="24">
      <c r="A24" s="6" t="inlineStr">
        <is>
          <t>Service</t>
        </is>
      </c>
      <c r="B24" s="7">
        <f>SUMIF('Machine Maintenance'!D:D,A24,'Machine Maintenance'!F:F)</f>
        <v/>
      </c>
      <c r="C24" s="6">
        <f>COUNTIF('Machine Maintenance'!D:D,A24)</f>
        <v/>
      </c>
    </row>
    <row r="25">
      <c r="A25" s="3" t="inlineStr">
        <is>
          <t>Parts Replacement</t>
        </is>
      </c>
      <c r="B25" s="9">
        <f>SUMIF('Machine Maintenance'!D:D,A25,'Machine Maintenance'!F:F)</f>
        <v/>
      </c>
      <c r="C25" s="3">
        <f>COUNTIF('Machine Maintenance'!D:D,A25)</f>
        <v/>
      </c>
    </row>
    <row r="26">
      <c r="A26" s="20" t="inlineStr">
        <is>
          <t>TOTAL MAINTENANCE</t>
        </is>
      </c>
      <c r="B26" s="21">
        <f>SUM('Machine Maintenance'!F:F)</f>
        <v/>
      </c>
      <c r="C26" s="6" t="n"/>
    </row>
  </sheetData>
  <mergeCells count="5"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2" t="inlineStr">
        <is>
          <t>MIS DASHBOARD</t>
        </is>
      </c>
    </row>
    <row r="3">
      <c r="A3" s="23" t="inlineStr">
        <is>
          <t>KEY METRICS</t>
        </is>
      </c>
    </row>
    <row r="4">
      <c r="A4" s="24" t="inlineStr">
        <is>
          <t>Total Revenue</t>
        </is>
      </c>
      <c r="B4" s="4">
        <f>SUM('Income Tracker'!G:G)</f>
        <v/>
      </c>
      <c r="C4" s="24" t="inlineStr">
        <is>
          <t>Total Expenses</t>
        </is>
      </c>
      <c r="D4" s="4">
        <f>SUM('Expense Tracker'!F:F)</f>
        <v/>
      </c>
    </row>
    <row r="5">
      <c r="A5" s="24" t="inlineStr">
        <is>
          <t>Net Profit</t>
        </is>
      </c>
      <c r="B5" s="25">
        <f>B4-D4</f>
        <v/>
      </c>
      <c r="C5" s="24" t="inlineStr">
        <is>
          <t>Profit Margin</t>
        </is>
      </c>
      <c r="D5" s="26">
        <f>IF(B4&gt;0,B5/B4,0)</f>
        <v/>
      </c>
    </row>
    <row r="6">
      <c r="A6" s="24" t="inlineStr">
        <is>
          <t>Active Machines</t>
        </is>
      </c>
      <c r="B6" s="4">
        <f>COUNTIF('Machines &amp; Equipment'!G:G,"Active")</f>
        <v/>
      </c>
      <c r="C6" s="24" t="inlineStr">
        <is>
          <t>Machines Under Repair</t>
        </is>
      </c>
      <c r="D6" s="4">
        <f>COUNTIF('Machines &amp; Equipment'!G:G,"Under Repair")</f>
        <v/>
      </c>
    </row>
    <row r="7">
      <c r="A7" s="24" t="inlineStr">
        <is>
          <t>Pending Payments</t>
        </is>
      </c>
      <c r="B7" s="4">
        <f>SUMIF('Income Tracker'!I:I,"Pending",'Income Tracker'!G:G)</f>
        <v/>
      </c>
      <c r="C7" s="24" t="inlineStr">
        <is>
          <t>Pending Expenses</t>
        </is>
      </c>
      <c r="D7" s="4">
        <f>SUMIF('Expense Tracker'!H:H,"Pending",'Expense Tracker'!F:F)</f>
        <v/>
      </c>
    </row>
    <row r="9">
      <c r="A9" s="23" t="inlineStr">
        <is>
          <t>SERVICE PERFORMANCE</t>
        </is>
      </c>
      <c r="E9" s="23" t="inlineStr">
        <is>
          <t>EXPENSE BREAKDOWN</t>
        </is>
      </c>
    </row>
    <row r="10">
      <c r="A10" s="2" t="inlineStr">
        <is>
          <t>Service</t>
        </is>
      </c>
      <c r="B10" s="2" t="inlineStr">
        <is>
          <t>Revenue</t>
        </is>
      </c>
      <c r="C10" s="2" t="inlineStr">
        <is>
          <t>Orders</t>
        </is>
      </c>
      <c r="E10" s="27" t="inlineStr">
        <is>
          <t>Category</t>
        </is>
      </c>
      <c r="F10" s="27" t="inlineStr">
        <is>
          <t>Amount</t>
        </is>
      </c>
      <c r="G10" s="27" t="inlineStr">
        <is>
          <t>Count</t>
        </is>
      </c>
    </row>
    <row r="11">
      <c r="A11" s="3" t="inlineStr">
        <is>
          <t>Deep Cleaning</t>
        </is>
      </c>
      <c r="B11" s="9">
        <f>SUMIF('Income Tracker'!D:D,A11,'Income Tracker'!G:G)</f>
        <v/>
      </c>
      <c r="C11" s="3">
        <f>COUNTIF('Income Tracker'!D:D,A11)</f>
        <v/>
      </c>
      <c r="E11" t="inlineStr">
        <is>
          <t>Staff Salary</t>
        </is>
      </c>
      <c r="F11" s="4">
        <f>SUMIF('Expense Tracker'!C:C,E11,'Expense Tracker'!F:F)</f>
        <v/>
      </c>
      <c r="G11">
        <f>COUNTIF('Expense Tracker'!C:C,E11)</f>
        <v/>
      </c>
    </row>
    <row r="12">
      <c r="A12" s="6" t="inlineStr">
        <is>
          <t>Regular Cleaning</t>
        </is>
      </c>
      <c r="B12" s="7">
        <f>SUMIF('Income Tracker'!D:D,A12,'Income Tracker'!G:G)</f>
        <v/>
      </c>
      <c r="C12" s="6">
        <f>COUNTIF('Income Tracker'!D:D,A12)</f>
        <v/>
      </c>
      <c r="E12" t="inlineStr">
        <is>
          <t>Vendor Payment</t>
        </is>
      </c>
      <c r="F12" s="4">
        <f>SUMIF('Expense Tracker'!C:C,E12,'Expense Tracker'!F:F)</f>
        <v/>
      </c>
      <c r="G12">
        <f>COUNTIF('Expense Tracker'!C:C,E12)</f>
        <v/>
      </c>
    </row>
    <row r="13">
      <c r="A13" s="3" t="inlineStr">
        <is>
          <t>Pest Control</t>
        </is>
      </c>
      <c r="B13" s="9">
        <f>SUMIF('Income Tracker'!D:D,A13,'Income Tracker'!G:G)</f>
        <v/>
      </c>
      <c r="C13" s="3">
        <f>COUNTIF('Income Tracker'!D:D,A13)</f>
        <v/>
      </c>
      <c r="E13" t="inlineStr">
        <is>
          <t>Travel &amp; Fuel</t>
        </is>
      </c>
      <c r="F13" s="4">
        <f>SUMIF('Expense Tracker'!C:C,E13,'Expense Tracker'!F:F)</f>
        <v/>
      </c>
      <c r="G13">
        <f>COUNTIF('Expense Tracker'!C:C,E13)</f>
        <v/>
      </c>
    </row>
    <row r="14">
      <c r="A14" s="6" t="inlineStr">
        <is>
          <t>Painting</t>
        </is>
      </c>
      <c r="B14" s="7">
        <f>SUMIF('Income Tracker'!D:D,A14,'Income Tracker'!G:G)</f>
        <v/>
      </c>
      <c r="C14" s="6">
        <f>COUNTIF('Income Tracker'!D:D,A14)</f>
        <v/>
      </c>
      <c r="E14" t="inlineStr">
        <is>
          <t>Marketing</t>
        </is>
      </c>
      <c r="F14" s="4">
        <f>SUMIF('Expense Tracker'!C:C,E14,'Expense Tracker'!F:F)</f>
        <v/>
      </c>
      <c r="G14">
        <f>COUNTIF('Expense Tracker'!C:C,E14)</f>
        <v/>
      </c>
    </row>
    <row r="15">
      <c r="A15" s="3" t="inlineStr">
        <is>
          <t>Plumbing</t>
        </is>
      </c>
      <c r="B15" s="9">
        <f>SUMIF('Income Tracker'!D:D,A15,'Income Tracker'!G:G)</f>
        <v/>
      </c>
      <c r="C15" s="3">
        <f>COUNTIF('Income Tracker'!D:D,A15)</f>
        <v/>
      </c>
      <c r="E15" t="inlineStr">
        <is>
          <t>Office Expenses</t>
        </is>
      </c>
      <c r="F15" s="4">
        <f>SUMIF('Expense Tracker'!C:C,E15,'Expense Tracker'!F:F)</f>
        <v/>
      </c>
      <c r="G15">
        <f>COUNTIF('Expense Tracker'!C:C,E15)</f>
        <v/>
      </c>
    </row>
    <row r="16">
      <c r="A16" s="6" t="inlineStr">
        <is>
          <t>Electrical</t>
        </is>
      </c>
      <c r="B16" s="7">
        <f>SUMIF('Income Tracker'!D:D,A16,'Income Tracker'!G:G)</f>
        <v/>
      </c>
      <c r="C16" s="6">
        <f>COUNTIF('Income Tracker'!D:D,A16)</f>
        <v/>
      </c>
      <c r="E16" t="inlineStr">
        <is>
          <t>Miscellaneous</t>
        </is>
      </c>
      <c r="F16" s="4">
        <f>SUMIF('Expense Tracker'!C:C,E16,'Expense Tracker'!F:F)</f>
        <v/>
      </c>
      <c r="G16">
        <f>COUNTIF('Expense Tracker'!C:C,E16)</f>
        <v/>
      </c>
    </row>
    <row r="17">
      <c r="A17" s="3" t="inlineStr">
        <is>
          <t>Carpentry</t>
        </is>
      </c>
      <c r="B17" s="9">
        <f>SUMIF('Income Tracker'!D:D,A17,'Income Tracker'!G:G)</f>
        <v/>
      </c>
      <c r="C17" s="3">
        <f>COUNTIF('Income Tracker'!D:D,A17)</f>
        <v/>
      </c>
    </row>
    <row r="18">
      <c r="A18" s="6" t="inlineStr">
        <is>
          <t>AC Service</t>
        </is>
      </c>
      <c r="B18" s="7">
        <f>SUMIF('Income Tracker'!D:D,A18,'Income Tracker'!G:G)</f>
        <v/>
      </c>
      <c r="C18" s="6">
        <f>COUNTIF('Income Tracker'!D:D,A18)</f>
        <v/>
      </c>
    </row>
    <row r="21">
      <c r="A21" s="23" t="inlineStr">
        <is>
          <t>STOCK STATUS</t>
        </is>
      </c>
    </row>
    <row r="22">
      <c r="A22" t="inlineStr">
        <is>
          <t>Total Asset Value (Machines)</t>
        </is>
      </c>
      <c r="B22" s="4">
        <f>SUM('Machines &amp; Equipment'!F:F)</f>
        <v/>
      </c>
    </row>
    <row r="23">
      <c r="A23" t="inlineStr">
        <is>
          <t>Total Maintenance Cost</t>
        </is>
      </c>
      <c r="B23" s="4">
        <f>SUM('Machine Maintenance'!F:F)</f>
        <v/>
      </c>
    </row>
    <row r="24">
      <c r="A24" t="inlineStr">
        <is>
          <t>Stock Transactions This Month</t>
        </is>
      </c>
      <c r="B24">
        <f>COUNTA('Stock Transactions'!A:A)-1</f>
        <v/>
      </c>
    </row>
  </sheetData>
  <mergeCells count="5">
    <mergeCell ref="A1:F1"/>
    <mergeCell ref="A21:D21"/>
    <mergeCell ref="A9:C9"/>
    <mergeCell ref="E9:G9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2026-01-29T11:53:15Z</dcterms:created>
  <dcterms:modified xsi:type="dcterms:W3CDTF">2026-01-29T11:53:15Z</dcterms:modified>
</cp:coreProperties>
</file>