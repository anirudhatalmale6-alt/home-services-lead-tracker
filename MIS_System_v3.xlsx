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Income Tracker" sheetId="2" state="visible" r:id="rId2"/>
    <sheet name="Expense Tracker" sheetId="3" state="visible" r:id="rId3"/>
    <sheet name="Stock Purchases" sheetId="4" state="visible" r:id="rId4"/>
    <sheet name="Machines &amp; Equipment" sheetId="5" state="visible" r:id="rId5"/>
    <sheet name="Machine Maintenance" sheetId="6" state="visible" r:id="rId6"/>
    <sheet name="Chemicals Stock" sheetId="7" state="visible" r:id="rId7"/>
    <sheet name="Accessories Stock" sheetId="8" state="visible" r:id="rId8"/>
    <sheet name="Stock Transactions" sheetId="9" state="visible" r:id="rId9"/>
    <sheet name="Income Summary" sheetId="10" state="visible" r:id="rId10"/>
    <sheet name="Expense Summary" sheetId="11" state="visible" r:id="rId11"/>
    <sheet name="GST Summary" sheetId="12" state="visible" r:id="rId12"/>
    <sheet name="Profitability Report" sheetId="13" state="visible" r:id="rId13"/>
    <sheet name="Stock Reports" sheetId="14" state="visible" r:id="rId14"/>
    <sheet name="Dashboar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₹#,##0.00"/>
    <numFmt numFmtId="167" formatCode="0.0%"/>
  </numFmts>
  <fonts count="1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  <color rgb="001F4E79"/>
      <sz val="14"/>
    </font>
    <font>
      <b val="1"/>
      <sz val="12"/>
    </font>
    <font>
      <b val="1"/>
    </font>
    <font>
      <i val="1"/>
      <color rgb="00666666"/>
    </font>
    <font>
      <b val="1"/>
      <color rgb="00008000"/>
      <sz val="12"/>
    </font>
    <font>
      <b val="1"/>
      <color rgb="00008000"/>
    </font>
    <font>
      <b val="1"/>
      <color rgb="00FF0000"/>
      <sz val="12"/>
    </font>
    <font>
      <b val="1"/>
      <color rgb="00FF0000"/>
    </font>
    <font>
      <b val="1"/>
      <sz val="14"/>
    </font>
    <font>
      <b val="1"/>
      <color rgb="001F4E79"/>
      <sz val="20"/>
    </font>
    <font>
      <b val="1"/>
      <color rgb="00FFFFFF"/>
      <sz val="12"/>
    </font>
    <font>
      <b val="1"/>
      <color rgb="00666666"/>
      <sz val="10"/>
    </font>
    <font>
      <b val="1"/>
      <color rgb="00008000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FCC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3" borderId="1" pivotButton="0" quotePrefix="0" xfId="0"/>
    <xf numFmtId="0" fontId="0" fillId="3" borderId="1" pivotButton="0" quotePrefix="0" xfId="0"/>
    <xf numFmtId="166" fontId="0" fillId="3" borderId="1" pivotButton="0" quotePrefix="0" xfId="0"/>
    <xf numFmtId="9" fontId="0" fillId="3" borderId="1" pivotButton="0" quotePrefix="0" xfId="0"/>
    <xf numFmtId="165" fontId="0" fillId="0" borderId="1" pivotButton="0" quotePrefix="0" xfId="0"/>
    <xf numFmtId="166" fontId="0" fillId="0" borderId="1" pivotButton="0" quotePrefix="0" xfId="0"/>
    <xf numFmtId="9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166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166" fontId="8" fillId="0" borderId="1" pivotButton="0" quotePrefix="0" xfId="0"/>
    <xf numFmtId="0" fontId="9" fillId="0" borderId="0" pivotButton="0" quotePrefix="0" xfId="0"/>
    <xf numFmtId="0" fontId="5" fillId="3" borderId="1" pivotButton="0" quotePrefix="0" xfId="0"/>
    <xf numFmtId="166" fontId="10" fillId="3" borderId="1" pivotButton="0" quotePrefix="0" xfId="0"/>
    <xf numFmtId="0" fontId="11" fillId="0" borderId="0" pivotButton="0" quotePrefix="0" xfId="0"/>
    <xf numFmtId="166" fontId="3" fillId="4" borderId="0" pivotButton="0" quotePrefix="0" xfId="0"/>
    <xf numFmtId="167" fontId="0" fillId="3" borderId="1" pivotButton="0" quotePrefix="0" xfId="0"/>
    <xf numFmtId="166" fontId="0" fillId="0" borderId="0" pivotButton="0" quotePrefix="0" xfId="0"/>
    <xf numFmtId="166" fontId="5" fillId="0" borderId="0" pivotButton="0" quotePrefix="0" xfId="0"/>
    <xf numFmtId="0" fontId="12" fillId="5" borderId="0" applyAlignment="1" pivotButton="0" quotePrefix="0" xfId="0">
      <alignment horizontal="center" vertical="center"/>
    </xf>
    <xf numFmtId="0" fontId="13" fillId="2" borderId="0" pivotButton="0" quotePrefix="0" xfId="0"/>
    <xf numFmtId="0" fontId="14" fillId="0" borderId="0" pivotButton="0" quotePrefix="0" xfId="0"/>
    <xf numFmtId="166" fontId="3" fillId="0" borderId="0" pivotButton="0" quotePrefix="0" xfId="0"/>
    <xf numFmtId="166" fontId="15" fillId="0" borderId="0" pivotButton="0" quotePrefix="0" xfId="0"/>
    <xf numFmtId="167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'Dashboard'!B11</f>
            </strRef>
          </tx>
          <spPr>
            <a:ln>
              <a:prstDash val="solid"/>
            </a:ln>
          </spPr>
          <cat>
            <numRef>
              <f>'Dashboard'!$A$12:$A$13</f>
            </numRef>
          </cat>
          <val>
            <numRef>
              <f>'Dashboard'!$B$12:$B$13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Service</a:t>
            </a:r>
          </a:p>
        </rich>
      </tx>
    </title>
    <plotArea>
      <pieChart>
        <varyColors val="1"/>
        <ser>
          <idx val="0"/>
          <order val="0"/>
          <tx>
            <strRef>
              <f>'Dashboard'!E11</f>
            </strRef>
          </tx>
          <spPr>
            <a:ln>
              <a:prstDash val="solid"/>
            </a:ln>
          </spPr>
          <cat>
            <numRef>
              <f>'Dashboard'!$D$12:$D$19</f>
            </numRef>
          </cat>
          <val>
            <numRef>
              <f>'Dashboard'!$E$12:$E$19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'Dashboard'!H11</f>
            </strRef>
          </tx>
          <spPr>
            <a:ln>
              <a:prstDash val="solid"/>
            </a:ln>
          </spPr>
          <cat>
            <numRef>
              <f>'Dashboard'!$G$12:$G$17</f>
            </numRef>
          </cat>
          <val>
            <numRef>
              <f>'Dashboard'!$H$12:$H$17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20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</cols>
  <sheetData>
    <row r="1">
      <c r="A1" s="1" t="inlineStr"/>
    </row>
    <row r="2">
      <c r="A2" t="inlineStr"/>
    </row>
    <row r="3">
      <c r="A3" s="2" t="inlineStr">
        <is>
          <t>SHEET</t>
        </is>
      </c>
      <c r="B3" s="2" t="inlineStr">
        <is>
          <t>PURPOSE</t>
        </is>
      </c>
      <c r="C3" s="2" t="inlineStr">
        <is>
          <t>HOW TO USE</t>
        </is>
      </c>
    </row>
    <row r="4">
      <c r="A4" s="3" t="inlineStr">
        <is>
          <t>Income Tracker</t>
        </is>
      </c>
      <c r="B4" s="3" t="inlineStr">
        <is>
          <t>Record all service revenue with GST</t>
        </is>
      </c>
      <c r="C4" s="3" t="inlineStr">
        <is>
          <t>Enter each payment with service type, GST rate auto-calculates</t>
        </is>
      </c>
    </row>
    <row r="5">
      <c r="A5" s="3" t="inlineStr">
        <is>
          <t>Expense Tracker</t>
        </is>
      </c>
      <c r="B5" s="3" t="inlineStr">
        <is>
          <t>Track all expenses with GST</t>
        </is>
      </c>
      <c r="C5" s="3" t="inlineStr">
        <is>
          <t>Log every expense with category and GST details</t>
        </is>
      </c>
    </row>
    <row r="6">
      <c r="A6" s="3" t="inlineStr">
        <is>
          <t>Stock Purchases</t>
        </is>
      </c>
      <c r="B6" s="3" t="inlineStr">
        <is>
          <t>Track all stock/inventory purchases</t>
        </is>
      </c>
      <c r="C6" s="3" t="inlineStr">
        <is>
          <t>Record vendor purchases with invoice and GST</t>
        </is>
      </c>
    </row>
    <row r="7">
      <c r="A7" s="3" t="inlineStr">
        <is>
          <t>Machines &amp; Equipment</t>
        </is>
      </c>
      <c r="B7" s="3" t="inlineStr">
        <is>
          <t>Asset register for all machines</t>
        </is>
      </c>
      <c r="C7" s="3" t="inlineStr">
        <is>
          <t>Add each machine with unique ID (M001, M002...)</t>
        </is>
      </c>
    </row>
    <row r="8">
      <c r="A8" s="3" t="inlineStr">
        <is>
          <t>Machine Maintenance</t>
        </is>
      </c>
      <c r="B8" s="3" t="inlineStr">
        <is>
          <t>Track repairs and servicing</t>
        </is>
      </c>
      <c r="C8" s="3" t="inlineStr">
        <is>
          <t>Log every repair/service against machine ID</t>
        </is>
      </c>
    </row>
    <row r="9">
      <c r="A9" s="3" t="inlineStr">
        <is>
          <t>Chemicals Stock</t>
        </is>
      </c>
      <c r="B9" s="3" t="inlineStr">
        <is>
          <t>Manage chemical inventory</t>
        </is>
      </c>
      <c r="C9" s="3" t="inlineStr">
        <is>
          <t>Update stock added and used regularly</t>
        </is>
      </c>
    </row>
    <row r="10">
      <c r="A10" s="3" t="inlineStr">
        <is>
          <t>Accessories Stock</t>
        </is>
      </c>
      <c r="B10" s="3" t="inlineStr">
        <is>
          <t>Track consumables inventory</t>
        </is>
      </c>
      <c r="C10" s="3" t="inlineStr">
        <is>
          <t>Update purchases and usage daily</t>
        </is>
      </c>
    </row>
    <row r="11">
      <c r="A11" s="3" t="inlineStr">
        <is>
          <t>Stock Transactions</t>
        </is>
      </c>
      <c r="B11" s="3" t="inlineStr">
        <is>
          <t>Detailed stock movement log</t>
        </is>
      </c>
      <c r="C11" s="3" t="inlineStr">
        <is>
          <t>Record every purchase/usage transaction</t>
        </is>
      </c>
    </row>
    <row r="12">
      <c r="A12" s="3" t="inlineStr">
        <is>
          <t>Income Summary</t>
        </is>
      </c>
      <c r="B12" s="3" t="inlineStr">
        <is>
          <t>Auto-calculated revenue reports</t>
        </is>
      </c>
      <c r="C12" s="3" t="inlineStr">
        <is>
          <t>View only - auto-updates from Income Tracker</t>
        </is>
      </c>
    </row>
    <row r="13">
      <c r="A13" s="3" t="inlineStr">
        <is>
          <t>Expense Summary</t>
        </is>
      </c>
      <c r="B13" s="3" t="inlineStr">
        <is>
          <t>Auto-calculated expense reports</t>
        </is>
      </c>
      <c r="C13" s="3" t="inlineStr">
        <is>
          <t>View only - auto-updates from Expense Tracker</t>
        </is>
      </c>
    </row>
    <row r="14">
      <c r="A14" s="3" t="inlineStr">
        <is>
          <t>GST Summary</t>
        </is>
      </c>
      <c r="B14" s="3" t="inlineStr">
        <is>
          <t>GST collected vs paid report</t>
        </is>
      </c>
      <c r="C14" s="3" t="inlineStr">
        <is>
          <t>View only - for GST filing reference</t>
        </is>
      </c>
    </row>
    <row r="15">
      <c r="A15" s="3" t="inlineStr">
        <is>
          <t>Profitability Report</t>
        </is>
      </c>
      <c r="B15" s="3" t="inlineStr">
        <is>
          <t>Profit analysis</t>
        </is>
      </c>
      <c r="C15" s="3" t="inlineStr">
        <is>
          <t>View only - auto-calculates profit margins</t>
        </is>
      </c>
    </row>
    <row r="16">
      <c r="A16" s="3" t="inlineStr">
        <is>
          <t>Stock Reports</t>
        </is>
      </c>
      <c r="B16" s="3" t="inlineStr">
        <is>
          <t>Inventory status and alerts</t>
        </is>
      </c>
      <c r="C16" s="3" t="inlineStr">
        <is>
          <t>View only - shows low stock and asset values</t>
        </is>
      </c>
    </row>
    <row r="17">
      <c r="A17" s="3" t="inlineStr">
        <is>
          <t>Dashboard</t>
        </is>
      </c>
      <c r="B17" s="3" t="inlineStr">
        <is>
          <t>Visual overview with charts</t>
        </is>
      </c>
      <c r="C17" s="3" t="inlineStr">
        <is>
          <t>View only - key metrics at a glance</t>
        </is>
      </c>
    </row>
    <row r="18">
      <c r="A18" t="inlineStr"/>
    </row>
    <row r="19">
      <c r="A19" t="inlineStr">
        <is>
          <t>GST RATES:</t>
        </is>
      </c>
      <c r="B19" t="inlineStr"/>
      <c r="C19" t="inlineStr"/>
    </row>
    <row r="20">
      <c r="A20" t="inlineStr">
        <is>
          <t>5% - Basic services</t>
        </is>
      </c>
      <c r="B20" t="inlineStr"/>
      <c r="C20" t="inlineStr"/>
    </row>
    <row r="21">
      <c r="A21" t="inlineStr">
        <is>
          <t>12% - Standard services</t>
        </is>
      </c>
      <c r="B21" t="inlineStr"/>
      <c r="C21" t="inlineStr"/>
    </row>
    <row r="22">
      <c r="A22" t="inlineStr">
        <is>
          <t>18% - Most services (default)</t>
        </is>
      </c>
      <c r="B22" t="inlineStr"/>
      <c r="C2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6" customWidth="1" min="4" max="4"/>
    <col width="16" customWidth="1" min="5" max="5"/>
    <col width="22" customWidth="1" min="6" max="6"/>
    <col width="14" customWidth="1" min="7" max="7"/>
    <col width="8" customWidth="1" min="8" max="8"/>
    <col width="14" customWidth="1" min="9" max="9"/>
    <col width="14" customWidth="1" min="10" max="10"/>
  </cols>
  <sheetData>
    <row r="1">
      <c r="A1" s="2" t="inlineStr">
        <is>
          <t>Date</t>
        </is>
      </c>
      <c r="B1" s="2" t="inlineStr">
        <is>
          <t>Invoice No</t>
        </is>
      </c>
      <c r="C1" s="2" t="inlineStr">
        <is>
          <t>Customer Name</t>
        </is>
      </c>
      <c r="D1" s="2" t="inlineStr">
        <is>
          <t>Service Type</t>
        </is>
      </c>
      <c r="E1" s="2" t="inlineStr">
        <is>
          <t>Project Type</t>
        </is>
      </c>
      <c r="F1" s="2" t="inlineStr">
        <is>
          <t>Project Name</t>
        </is>
      </c>
      <c r="G1" s="2" t="inlineStr">
        <is>
          <t>Base Amount (₹)</t>
        </is>
      </c>
      <c r="H1" s="2" t="inlineStr">
        <is>
          <t>GST %</t>
        </is>
      </c>
      <c r="I1" s="2" t="inlineStr">
        <is>
          <t>GST Amount (₹)</t>
        </is>
      </c>
      <c r="J1" s="2" t="inlineStr">
        <is>
          <t>Total Amount (₹)</t>
        </is>
      </c>
      <c r="K1" s="2" t="inlineStr">
        <is>
          <t>Payment Mode</t>
        </is>
      </c>
      <c r="L1" s="2" t="inlineStr">
        <is>
          <t>Payment Status</t>
        </is>
      </c>
      <c r="M1" s="2" t="inlineStr">
        <is>
          <t>Notes</t>
        </is>
      </c>
    </row>
    <row r="2">
      <c r="A2" s="4" t="n">
        <v>45663</v>
      </c>
      <c r="B2" s="5" t="inlineStr">
        <is>
          <t>INV-2025-1001</t>
        </is>
      </c>
      <c r="C2" s="5" t="inlineStr">
        <is>
          <t>Rajesh Kumar</t>
        </is>
      </c>
      <c r="D2" s="5" t="inlineStr">
        <is>
          <t>Regular Cleaning</t>
        </is>
      </c>
      <c r="E2" s="5" t="inlineStr">
        <is>
          <t>Apartment Bulk</t>
        </is>
      </c>
      <c r="F2" s="5" t="inlineStr">
        <is>
          <t>Green Valley Apartments</t>
        </is>
      </c>
      <c r="G2" s="6" t="n">
        <v>161714</v>
      </c>
      <c r="H2" s="7" t="n">
        <v>0.18</v>
      </c>
      <c r="I2" s="6">
        <f>G2*H2</f>
        <v/>
      </c>
      <c r="J2" s="6">
        <f>G2+I2</f>
        <v/>
      </c>
      <c r="K2" s="5" t="inlineStr">
        <is>
          <t>UPI</t>
        </is>
      </c>
      <c r="L2" s="5" t="inlineStr">
        <is>
          <t>Received</t>
        </is>
      </c>
      <c r="M2" s="5" t="n"/>
    </row>
    <row r="3">
      <c r="A3" s="8" t="n">
        <v>45683</v>
      </c>
      <c r="B3" s="3" t="inlineStr">
        <is>
          <t>INV-2025-1002</t>
        </is>
      </c>
      <c r="C3" s="3" t="inlineStr">
        <is>
          <t>Priya Sharma</t>
        </is>
      </c>
      <c r="D3" s="3" t="inlineStr">
        <is>
          <t>Electrical</t>
        </is>
      </c>
      <c r="E3" s="3" t="inlineStr">
        <is>
          <t>Individual</t>
        </is>
      </c>
      <c r="F3" s="3" t="inlineStr"/>
      <c r="G3" s="9" t="n">
        <v>19560</v>
      </c>
      <c r="H3" s="10" t="n">
        <v>0.18</v>
      </c>
      <c r="I3" s="9">
        <f>G3*H3</f>
        <v/>
      </c>
      <c r="J3" s="9">
        <f>G3+I3</f>
        <v/>
      </c>
      <c r="K3" s="3" t="inlineStr">
        <is>
          <t>Cash</t>
        </is>
      </c>
      <c r="L3" s="3" t="inlineStr">
        <is>
          <t>Pending</t>
        </is>
      </c>
      <c r="M3" s="3" t="n"/>
    </row>
    <row r="4">
      <c r="A4" s="4" t="n">
        <v>45678</v>
      </c>
      <c r="B4" s="5" t="inlineStr">
        <is>
          <t>INV-2025-1003</t>
        </is>
      </c>
      <c r="C4" s="5" t="inlineStr">
        <is>
          <t>Amit Patel</t>
        </is>
      </c>
      <c r="D4" s="5" t="inlineStr">
        <is>
          <t>Regular Cleaning</t>
        </is>
      </c>
      <c r="E4" s="5" t="inlineStr">
        <is>
          <t>Apartment Bulk</t>
        </is>
      </c>
      <c r="F4" s="5" t="inlineStr">
        <is>
          <t>Green Valley Apartments</t>
        </is>
      </c>
      <c r="G4" s="6" t="n">
        <v>71722</v>
      </c>
      <c r="H4" s="7" t="n">
        <v>0.18</v>
      </c>
      <c r="I4" s="6">
        <f>G4*H4</f>
        <v/>
      </c>
      <c r="J4" s="6">
        <f>G4+I4</f>
        <v/>
      </c>
      <c r="K4" s="5" t="inlineStr">
        <is>
          <t>Card</t>
        </is>
      </c>
      <c r="L4" s="5" t="inlineStr">
        <is>
          <t>Pending</t>
        </is>
      </c>
      <c r="M4" s="5" t="n"/>
    </row>
    <row r="5">
      <c r="A5" s="8" t="n">
        <v>45675</v>
      </c>
      <c r="B5" s="3" t="inlineStr">
        <is>
          <t>INV-2025-1004</t>
        </is>
      </c>
      <c r="C5" s="3" t="inlineStr">
        <is>
          <t>Sunita Reddy</t>
        </is>
      </c>
      <c r="D5" s="3" t="inlineStr">
        <is>
          <t>Plumbing</t>
        </is>
      </c>
      <c r="E5" s="3" t="inlineStr">
        <is>
          <t>Individual</t>
        </is>
      </c>
      <c r="F5" s="3" t="inlineStr"/>
      <c r="G5" s="9" t="n">
        <v>2406</v>
      </c>
      <c r="H5" s="10" t="n">
        <v>0.18</v>
      </c>
      <c r="I5" s="9">
        <f>G5*H5</f>
        <v/>
      </c>
      <c r="J5" s="9">
        <f>G5+I5</f>
        <v/>
      </c>
      <c r="K5" s="3" t="inlineStr">
        <is>
          <t>Card</t>
        </is>
      </c>
      <c r="L5" s="3" t="inlineStr">
        <is>
          <t>Pending</t>
        </is>
      </c>
      <c r="M5" s="3" t="n"/>
    </row>
    <row r="6">
      <c r="A6" s="4" t="n">
        <v>45664</v>
      </c>
      <c r="B6" s="5" t="inlineStr">
        <is>
          <t>INV-2025-1005</t>
        </is>
      </c>
      <c r="C6" s="5" t="inlineStr">
        <is>
          <t>Vikram Singh</t>
        </is>
      </c>
      <c r="D6" s="5" t="inlineStr">
        <is>
          <t>Carpentry</t>
        </is>
      </c>
      <c r="E6" s="5" t="inlineStr">
        <is>
          <t>Commercial</t>
        </is>
      </c>
      <c r="F6" s="5" t="inlineStr">
        <is>
          <t>Tech Park</t>
        </is>
      </c>
      <c r="G6" s="6" t="n">
        <v>165480</v>
      </c>
      <c r="H6" s="7" t="n">
        <v>0.18</v>
      </c>
      <c r="I6" s="6">
        <f>G6*H6</f>
        <v/>
      </c>
      <c r="J6" s="6">
        <f>G6+I6</f>
        <v/>
      </c>
      <c r="K6" s="5" t="inlineStr">
        <is>
          <t>UPI</t>
        </is>
      </c>
      <c r="L6" s="5" t="inlineStr">
        <is>
          <t>Received</t>
        </is>
      </c>
      <c r="M6" s="5" t="n"/>
    </row>
    <row r="7">
      <c r="A7" s="8" t="n">
        <v>45658</v>
      </c>
      <c r="B7" s="3" t="inlineStr">
        <is>
          <t>INV-2025-1006</t>
        </is>
      </c>
      <c r="C7" s="3" t="inlineStr">
        <is>
          <t>Deepa Nair</t>
        </is>
      </c>
      <c r="D7" s="3" t="inlineStr">
        <is>
          <t>AC Service</t>
        </is>
      </c>
      <c r="E7" s="3" t="inlineStr">
        <is>
          <t>Apartment Bulk</t>
        </is>
      </c>
      <c r="F7" s="3" t="inlineStr">
        <is>
          <t>Green Valley Apartments</t>
        </is>
      </c>
      <c r="G7" s="9" t="n">
        <v>70090</v>
      </c>
      <c r="H7" s="10" t="n">
        <v>0.18</v>
      </c>
      <c r="I7" s="9">
        <f>G7*H7</f>
        <v/>
      </c>
      <c r="J7" s="9">
        <f>G7+I7</f>
        <v/>
      </c>
      <c r="K7" s="3" t="inlineStr">
        <is>
          <t>UPI</t>
        </is>
      </c>
      <c r="L7" s="3" t="inlineStr">
        <is>
          <t>Pending</t>
        </is>
      </c>
      <c r="M7" s="3" t="n"/>
    </row>
    <row r="8">
      <c r="A8" s="4" t="n">
        <v>45663</v>
      </c>
      <c r="B8" s="5" t="inlineStr">
        <is>
          <t>INV-2025-1007</t>
        </is>
      </c>
      <c r="C8" s="5" t="inlineStr">
        <is>
          <t>Karthik Iyer</t>
        </is>
      </c>
      <c r="D8" s="5" t="inlineStr">
        <is>
          <t>Painting</t>
        </is>
      </c>
      <c r="E8" s="5" t="inlineStr">
        <is>
          <t>Commercial</t>
        </is>
      </c>
      <c r="F8" s="5" t="inlineStr">
        <is>
          <t>Tech Park</t>
        </is>
      </c>
      <c r="G8" s="6" t="n">
        <v>65024</v>
      </c>
      <c r="H8" s="7" t="n">
        <v>0.18</v>
      </c>
      <c r="I8" s="6">
        <f>G8*H8</f>
        <v/>
      </c>
      <c r="J8" s="6">
        <f>G8+I8</f>
        <v/>
      </c>
      <c r="K8" s="5" t="inlineStr">
        <is>
          <t>Card</t>
        </is>
      </c>
      <c r="L8" s="5" t="inlineStr">
        <is>
          <t>Received</t>
        </is>
      </c>
      <c r="M8" s="5" t="n"/>
    </row>
    <row r="9">
      <c r="A9" s="8" t="n">
        <v>45681</v>
      </c>
      <c r="B9" s="3" t="inlineStr">
        <is>
          <t>INV-2025-1008</t>
        </is>
      </c>
      <c r="C9" s="3" t="inlineStr">
        <is>
          <t>Meena Gupta</t>
        </is>
      </c>
      <c r="D9" s="3" t="inlineStr">
        <is>
          <t>Carpentry</t>
        </is>
      </c>
      <c r="E9" s="3" t="inlineStr">
        <is>
          <t>Apartment Bulk</t>
        </is>
      </c>
      <c r="F9" s="3" t="inlineStr">
        <is>
          <t>Green Valley Apartments</t>
        </is>
      </c>
      <c r="G9" s="9" t="n">
        <v>136501</v>
      </c>
      <c r="H9" s="10" t="n">
        <v>0.18</v>
      </c>
      <c r="I9" s="9">
        <f>G9*H9</f>
        <v/>
      </c>
      <c r="J9" s="9">
        <f>G9+I9</f>
        <v/>
      </c>
      <c r="K9" s="3" t="inlineStr">
        <is>
          <t>Cash</t>
        </is>
      </c>
      <c r="L9" s="3" t="inlineStr">
        <is>
          <t>Pending</t>
        </is>
      </c>
      <c r="M9" s="3" t="n"/>
    </row>
    <row r="10">
      <c r="A10" s="4" t="n">
        <v>45674</v>
      </c>
      <c r="B10" s="5" t="inlineStr">
        <is>
          <t>INV-2025-1009</t>
        </is>
      </c>
      <c r="C10" s="5" t="inlineStr">
        <is>
          <t>Rahul Verma</t>
        </is>
      </c>
      <c r="D10" s="5" t="inlineStr">
        <is>
          <t>Deep Cleaning</t>
        </is>
      </c>
      <c r="E10" s="5" t="inlineStr">
        <is>
          <t>Individual</t>
        </is>
      </c>
      <c r="F10" s="5" t="inlineStr"/>
      <c r="G10" s="6" t="n">
        <v>14814</v>
      </c>
      <c r="H10" s="7" t="n">
        <v>0.18</v>
      </c>
      <c r="I10" s="6">
        <f>G10*H10</f>
        <v/>
      </c>
      <c r="J10" s="6">
        <f>G10+I10</f>
        <v/>
      </c>
      <c r="K10" s="5" t="inlineStr">
        <is>
          <t>Card</t>
        </is>
      </c>
      <c r="L10" s="5" t="inlineStr">
        <is>
          <t>Received</t>
        </is>
      </c>
      <c r="M10" s="5" t="n"/>
    </row>
    <row r="11">
      <c r="A11" s="8" t="n">
        <v>45660</v>
      </c>
      <c r="B11" s="3" t="inlineStr">
        <is>
          <t>INV-2025-1010</t>
        </is>
      </c>
      <c r="C11" s="3" t="inlineStr">
        <is>
          <t>Anjali Menon</t>
        </is>
      </c>
      <c r="D11" s="3" t="inlineStr">
        <is>
          <t>Painting</t>
        </is>
      </c>
      <c r="E11" s="3" t="inlineStr">
        <is>
          <t>Commercial</t>
        </is>
      </c>
      <c r="F11" s="3" t="inlineStr">
        <is>
          <t>Tech Park</t>
        </is>
      </c>
      <c r="G11" s="9" t="n">
        <v>54156</v>
      </c>
      <c r="H11" s="10" t="n">
        <v>0.18</v>
      </c>
      <c r="I11" s="9">
        <f>G11*H11</f>
        <v/>
      </c>
      <c r="J11" s="9">
        <f>G11+I11</f>
        <v/>
      </c>
      <c r="K11" s="3" t="inlineStr">
        <is>
          <t>Card</t>
        </is>
      </c>
      <c r="L11" s="3" t="inlineStr">
        <is>
          <t>Pending</t>
        </is>
      </c>
      <c r="M11" s="3" t="n"/>
    </row>
    <row r="12">
      <c r="A12" s="4" t="n">
        <v>45686</v>
      </c>
      <c r="B12" s="5" t="inlineStr">
        <is>
          <t>INV-2025-1011</t>
        </is>
      </c>
      <c r="C12" s="5" t="inlineStr">
        <is>
          <t>Suresh Rao</t>
        </is>
      </c>
      <c r="D12" s="5" t="inlineStr">
        <is>
          <t>Painting</t>
        </is>
      </c>
      <c r="E12" s="5" t="inlineStr">
        <is>
          <t>Commercial</t>
        </is>
      </c>
      <c r="F12" s="5" t="inlineStr">
        <is>
          <t>Tech Park</t>
        </is>
      </c>
      <c r="G12" s="6" t="n">
        <v>123499</v>
      </c>
      <c r="H12" s="7" t="n">
        <v>0.18</v>
      </c>
      <c r="I12" s="6">
        <f>G12*H12</f>
        <v/>
      </c>
      <c r="J12" s="6">
        <f>G12+I12</f>
        <v/>
      </c>
      <c r="K12" s="5" t="inlineStr">
        <is>
          <t>UPI</t>
        </is>
      </c>
      <c r="L12" s="5" t="inlineStr">
        <is>
          <t>Received</t>
        </is>
      </c>
      <c r="M12" s="5" t="n"/>
    </row>
    <row r="13">
      <c r="A13" s="8" t="n">
        <v>45674</v>
      </c>
      <c r="B13" s="3" t="inlineStr">
        <is>
          <t>INV-2025-1012</t>
        </is>
      </c>
      <c r="C13" s="3" t="inlineStr">
        <is>
          <t>Lakshmi Pillai</t>
        </is>
      </c>
      <c r="D13" s="3" t="inlineStr">
        <is>
          <t>Carpentry</t>
        </is>
      </c>
      <c r="E13" s="3" t="inlineStr">
        <is>
          <t>Individual</t>
        </is>
      </c>
      <c r="F13" s="3" t="inlineStr"/>
      <c r="G13" s="9" t="n">
        <v>10596</v>
      </c>
      <c r="H13" s="10" t="n">
        <v>0.18</v>
      </c>
      <c r="I13" s="9">
        <f>G13*H13</f>
        <v/>
      </c>
      <c r="J13" s="9">
        <f>G13+I13</f>
        <v/>
      </c>
      <c r="K13" s="3" t="inlineStr">
        <is>
          <t>Bank Transfer</t>
        </is>
      </c>
      <c r="L13" s="3" t="inlineStr">
        <is>
          <t>Pending</t>
        </is>
      </c>
      <c r="M13" s="3" t="n"/>
    </row>
    <row r="14">
      <c r="A14" s="4" t="n">
        <v>45683</v>
      </c>
      <c r="B14" s="5" t="inlineStr">
        <is>
          <t>INV-2025-1013</t>
        </is>
      </c>
      <c r="C14" s="5" t="inlineStr">
        <is>
          <t>Arun Krishnan</t>
        </is>
      </c>
      <c r="D14" s="5" t="inlineStr">
        <is>
          <t>Carpentry</t>
        </is>
      </c>
      <c r="E14" s="5" t="inlineStr">
        <is>
          <t>Apartment Bulk</t>
        </is>
      </c>
      <c r="F14" s="5" t="inlineStr">
        <is>
          <t>Green Valley Apartments</t>
        </is>
      </c>
      <c r="G14" s="6" t="n">
        <v>51159</v>
      </c>
      <c r="H14" s="7" t="n">
        <v>0.18</v>
      </c>
      <c r="I14" s="6">
        <f>G14*H14</f>
        <v/>
      </c>
      <c r="J14" s="6">
        <f>G14+I14</f>
        <v/>
      </c>
      <c r="K14" s="5" t="inlineStr">
        <is>
          <t>Card</t>
        </is>
      </c>
      <c r="L14" s="5" t="inlineStr">
        <is>
          <t>Received</t>
        </is>
      </c>
      <c r="M14" s="5" t="n"/>
    </row>
    <row r="15">
      <c r="A15" s="8" t="n">
        <v>45665</v>
      </c>
      <c r="B15" s="3" t="inlineStr">
        <is>
          <t>INV-2025-1014</t>
        </is>
      </c>
      <c r="C15" s="3" t="inlineStr">
        <is>
          <t>Kavitha Srinivasan</t>
        </is>
      </c>
      <c r="D15" s="3" t="inlineStr">
        <is>
          <t>Deep Cleaning</t>
        </is>
      </c>
      <c r="E15" s="3" t="inlineStr">
        <is>
          <t>Commercial</t>
        </is>
      </c>
      <c r="F15" s="3" t="inlineStr">
        <is>
          <t>Tech Park</t>
        </is>
      </c>
      <c r="G15" s="9" t="n">
        <v>54942</v>
      </c>
      <c r="H15" s="10" t="n">
        <v>0.18</v>
      </c>
      <c r="I15" s="9">
        <f>G15*H15</f>
        <v/>
      </c>
      <c r="J15" s="9">
        <f>G15+I15</f>
        <v/>
      </c>
      <c r="K15" s="3" t="inlineStr">
        <is>
          <t>Bank Transfer</t>
        </is>
      </c>
      <c r="L15" s="3" t="inlineStr">
        <is>
          <t>Received</t>
        </is>
      </c>
      <c r="M15" s="3" t="n"/>
    </row>
    <row r="16">
      <c r="A16" s="4" t="n">
        <v>45669</v>
      </c>
      <c r="B16" s="5" t="inlineStr">
        <is>
          <t>INV-2025-1015</t>
        </is>
      </c>
      <c r="C16" s="5" t="inlineStr">
        <is>
          <t>Manoj Das</t>
        </is>
      </c>
      <c r="D16" s="5" t="inlineStr">
        <is>
          <t>Pest Control</t>
        </is>
      </c>
      <c r="E16" s="5" t="inlineStr">
        <is>
          <t>Apartment Bulk</t>
        </is>
      </c>
      <c r="F16" s="5" t="inlineStr">
        <is>
          <t>Green Valley Apartments</t>
        </is>
      </c>
      <c r="G16" s="6" t="n">
        <v>110319</v>
      </c>
      <c r="H16" s="7" t="n">
        <v>0.18</v>
      </c>
      <c r="I16" s="6">
        <f>G16*H16</f>
        <v/>
      </c>
      <c r="J16" s="6">
        <f>G16+I16</f>
        <v/>
      </c>
      <c r="K16" s="5" t="inlineStr">
        <is>
          <t>UPI</t>
        </is>
      </c>
      <c r="L16" s="5" t="inlineStr">
        <is>
          <t>Pending</t>
        </is>
      </c>
      <c r="M16" s="5" t="n"/>
    </row>
  </sheetData>
  <dataValidations count="5">
    <dataValidation sqref="D2:D1000" showDropDown="0" showInputMessage="0" showErrorMessage="0" allowBlank="1" type="list">
      <formula1>"Deep Cleaning,Regular Cleaning,Pest Control,Painting,Plumbing,Electrical,Carpentry,AC Service"</formula1>
    </dataValidation>
    <dataValidation sqref="E2:E1000" showDropDown="0" showInputMessage="0" showErrorMessage="0" allowBlank="1" type="list">
      <formula1>"Individual,Apartment Bulk,Commercial"</formula1>
    </dataValidation>
    <dataValidation sqref="K2:K1000" showDropDown="0" showInputMessage="0" showErrorMessage="0" allowBlank="1" type="list">
      <formula1>"Cash,UPI,Bank Transfer,Card"</formula1>
    </dataValidation>
    <dataValidation sqref="L2:L1000" showDropDown="0" showInputMessage="0" showErrorMessage="0" allowBlank="1" type="list">
      <formula1>"Received,Pending"</formula1>
    </dataValidation>
    <dataValidation sqref="G2:G1000 H2:H1000 I2:I1000 L2:L1000" showDropDown="0" showInputMessage="0" showErrorMessage="0" allowBlank="1" type="list">
      <formula1>"5%,12%,18%"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15" customWidth="1" min="5" max="5"/>
    <col width="15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Date</t>
        </is>
      </c>
      <c r="B1" s="2" t="inlineStr">
        <is>
          <t>Expense ID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Vendor/Payee</t>
        </is>
      </c>
      <c r="F1" s="2" t="inlineStr">
        <is>
          <t>Base Amount (₹)</t>
        </is>
      </c>
      <c r="G1" s="2" t="inlineStr">
        <is>
          <t>GST %</t>
        </is>
      </c>
      <c r="H1" s="2" t="inlineStr">
        <is>
          <t>GST Amount (₹)</t>
        </is>
      </c>
      <c r="I1" s="2" t="inlineStr">
        <is>
          <t>Total Amount (₹)</t>
        </is>
      </c>
      <c r="J1" s="2" t="inlineStr">
        <is>
          <t>Payment Mode</t>
        </is>
      </c>
      <c r="K1" s="2" t="inlineStr">
        <is>
          <t>Payment Status</t>
        </is>
      </c>
      <c r="L1" s="2" t="inlineStr">
        <is>
          <t>Notes</t>
        </is>
      </c>
    </row>
    <row r="2">
      <c r="A2" s="4" t="n">
        <v>45679</v>
      </c>
      <c r="B2" s="5" t="inlineStr">
        <is>
          <t>EXP-2025-101</t>
        </is>
      </c>
      <c r="C2" s="5" t="inlineStr">
        <is>
          <t>Office Expenses</t>
        </is>
      </c>
      <c r="D2" s="5" t="inlineStr">
        <is>
          <t>Office Supplies</t>
        </is>
      </c>
      <c r="E2" s="5" t="inlineStr">
        <is>
          <t>Ramesh (Driver)</t>
        </is>
      </c>
      <c r="F2" s="6" t="n">
        <v>1650</v>
      </c>
      <c r="G2" s="7" t="n">
        <v>0.18</v>
      </c>
      <c r="H2" s="6">
        <f>F2*G2</f>
        <v/>
      </c>
      <c r="I2" s="6">
        <f>F2+H2</f>
        <v/>
      </c>
      <c r="J2" s="5" t="inlineStr">
        <is>
          <t>Cash</t>
        </is>
      </c>
      <c r="K2" s="5" t="inlineStr">
        <is>
          <t>Received</t>
        </is>
      </c>
      <c r="L2" s="5" t="n"/>
    </row>
    <row r="3">
      <c r="A3" s="8" t="n">
        <v>45678</v>
      </c>
      <c r="B3" s="3" t="inlineStr">
        <is>
          <t>EXP-2025-102</t>
        </is>
      </c>
      <c r="C3" s="3" t="inlineStr">
        <is>
          <t>Miscellaneous</t>
        </is>
      </c>
      <c r="D3" s="3" t="inlineStr">
        <is>
          <t>Office Supplies</t>
        </is>
      </c>
      <c r="E3" s="3" t="inlineStr">
        <is>
          <t>Ramesh (Driver)</t>
        </is>
      </c>
      <c r="F3" s="9" t="n">
        <v>3268</v>
      </c>
      <c r="G3" s="10" t="n">
        <v>0.18</v>
      </c>
      <c r="H3" s="9">
        <f>F3*G3</f>
        <v/>
      </c>
      <c r="I3" s="9">
        <f>F3+H3</f>
        <v/>
      </c>
      <c r="J3" s="3" t="inlineStr">
        <is>
          <t>UPI</t>
        </is>
      </c>
      <c r="K3" s="3" t="inlineStr">
        <is>
          <t>Received</t>
        </is>
      </c>
      <c r="L3" s="3" t="n"/>
    </row>
    <row r="4">
      <c r="A4" s="4" t="n">
        <v>45678</v>
      </c>
      <c r="B4" s="5" t="inlineStr">
        <is>
          <t>EXP-2025-103</t>
        </is>
      </c>
      <c r="C4" s="5" t="inlineStr">
        <is>
          <t>Vendor Payment</t>
        </is>
      </c>
      <c r="D4" s="5" t="inlineStr">
        <is>
          <t>Misc Purchase</t>
        </is>
      </c>
      <c r="E4" s="5" t="inlineStr">
        <is>
          <t>Kumar Chemicals</t>
        </is>
      </c>
      <c r="F4" s="6" t="n">
        <v>2827</v>
      </c>
      <c r="G4" s="7" t="n">
        <v>0.18</v>
      </c>
      <c r="H4" s="6">
        <f>F4*G4</f>
        <v/>
      </c>
      <c r="I4" s="6">
        <f>F4+H4</f>
        <v/>
      </c>
      <c r="J4" s="5" t="inlineStr">
        <is>
          <t>Cash</t>
        </is>
      </c>
      <c r="K4" s="5" t="inlineStr">
        <is>
          <t>Pending</t>
        </is>
      </c>
      <c r="L4" s="5" t="n"/>
    </row>
    <row r="5">
      <c r="A5" s="8" t="n">
        <v>45681</v>
      </c>
      <c r="B5" s="3" t="inlineStr">
        <is>
          <t>EXP-2025-104</t>
        </is>
      </c>
      <c r="C5" s="3" t="inlineStr">
        <is>
          <t>Staff Salary</t>
        </is>
      </c>
      <c r="D5" s="3" t="inlineStr">
        <is>
          <t>Salary - Helper</t>
        </is>
      </c>
      <c r="E5" s="3" t="inlineStr">
        <is>
          <t>Suresh</t>
        </is>
      </c>
      <c r="F5" s="9" t="n">
        <v>24490</v>
      </c>
      <c r="G5" s="10" t="n">
        <v>0</v>
      </c>
      <c r="H5" s="9">
        <f>F5*G5</f>
        <v/>
      </c>
      <c r="I5" s="9">
        <f>F5+H5</f>
        <v/>
      </c>
      <c r="J5" s="3" t="inlineStr">
        <is>
          <t>Bank Transfer</t>
        </is>
      </c>
      <c r="K5" s="3" t="inlineStr">
        <is>
          <t>Pending</t>
        </is>
      </c>
      <c r="L5" s="3" t="n"/>
    </row>
    <row r="6">
      <c r="A6" s="4" t="n">
        <v>45682</v>
      </c>
      <c r="B6" s="5" t="inlineStr">
        <is>
          <t>EXP-2025-105</t>
        </is>
      </c>
      <c r="C6" s="5" t="inlineStr">
        <is>
          <t>Miscellaneous</t>
        </is>
      </c>
      <c r="D6" s="5" t="inlineStr">
        <is>
          <t>Office Supplies</t>
        </is>
      </c>
      <c r="E6" s="5" t="inlineStr">
        <is>
          <t>Facebook Ads</t>
        </is>
      </c>
      <c r="F6" s="6" t="n">
        <v>690</v>
      </c>
      <c r="G6" s="7" t="n">
        <v>0.18</v>
      </c>
      <c r="H6" s="6">
        <f>F6*G6</f>
        <v/>
      </c>
      <c r="I6" s="6">
        <f>F6+H6</f>
        <v/>
      </c>
      <c r="J6" s="5" t="inlineStr">
        <is>
          <t>UPI</t>
        </is>
      </c>
      <c r="K6" s="5" t="inlineStr">
        <is>
          <t>Received</t>
        </is>
      </c>
      <c r="L6" s="5" t="n"/>
    </row>
    <row r="7">
      <c r="A7" s="8" t="n">
        <v>45679</v>
      </c>
      <c r="B7" s="3" t="inlineStr">
        <is>
          <t>EXP-2025-106</t>
        </is>
      </c>
      <c r="C7" s="3" t="inlineStr">
        <is>
          <t>Office Expenses</t>
        </is>
      </c>
      <c r="D7" s="3" t="inlineStr">
        <is>
          <t>Utility Bill</t>
        </is>
      </c>
      <c r="E7" s="3" t="inlineStr">
        <is>
          <t>Facebook Ads</t>
        </is>
      </c>
      <c r="F7" s="9" t="n">
        <v>4405</v>
      </c>
      <c r="G7" s="10" t="n">
        <v>0.18</v>
      </c>
      <c r="H7" s="9">
        <f>F7*G7</f>
        <v/>
      </c>
      <c r="I7" s="9">
        <f>F7+H7</f>
        <v/>
      </c>
      <c r="J7" s="3" t="inlineStr">
        <is>
          <t>Bank Transfer</t>
        </is>
      </c>
      <c r="K7" s="3" t="inlineStr">
        <is>
          <t>Pending</t>
        </is>
      </c>
      <c r="L7" s="3" t="n"/>
    </row>
    <row r="8">
      <c r="A8" s="4" t="n">
        <v>45667</v>
      </c>
      <c r="B8" s="5" t="inlineStr">
        <is>
          <t>EXP-2025-107</t>
        </is>
      </c>
      <c r="C8" s="5" t="inlineStr">
        <is>
          <t>Office Expenses</t>
        </is>
      </c>
      <c r="D8" s="5" t="inlineStr">
        <is>
          <t>Misc Purchase</t>
        </is>
      </c>
      <c r="E8" s="5" t="inlineStr">
        <is>
          <t>City Fuel Station</t>
        </is>
      </c>
      <c r="F8" s="6" t="n">
        <v>1694</v>
      </c>
      <c r="G8" s="7" t="n">
        <v>0.18</v>
      </c>
      <c r="H8" s="6">
        <f>F8*G8</f>
        <v/>
      </c>
      <c r="I8" s="6">
        <f>F8+H8</f>
        <v/>
      </c>
      <c r="J8" s="5" t="inlineStr">
        <is>
          <t>UPI</t>
        </is>
      </c>
      <c r="K8" s="5" t="inlineStr">
        <is>
          <t>Received</t>
        </is>
      </c>
      <c r="L8" s="5" t="n"/>
    </row>
    <row r="9">
      <c r="A9" s="8" t="n">
        <v>45658</v>
      </c>
      <c r="B9" s="3" t="inlineStr">
        <is>
          <t>EXP-2025-108</t>
        </is>
      </c>
      <c r="C9" s="3" t="inlineStr">
        <is>
          <t>Miscellaneous</t>
        </is>
      </c>
      <c r="D9" s="3" t="inlineStr">
        <is>
          <t>Office Supplies</t>
        </is>
      </c>
      <c r="E9" s="3" t="inlineStr">
        <is>
          <t>Facebook Ads</t>
        </is>
      </c>
      <c r="F9" s="9" t="n">
        <v>3070</v>
      </c>
      <c r="G9" s="10" t="n">
        <v>0.18</v>
      </c>
      <c r="H9" s="9">
        <f>F9*G9</f>
        <v/>
      </c>
      <c r="I9" s="9">
        <f>F9+H9</f>
        <v/>
      </c>
      <c r="J9" s="3" t="inlineStr">
        <is>
          <t>Card</t>
        </is>
      </c>
      <c r="K9" s="3" t="inlineStr">
        <is>
          <t>Pending</t>
        </is>
      </c>
      <c r="L9" s="3" t="n"/>
    </row>
    <row r="10">
      <c r="A10" s="4" t="n">
        <v>45681</v>
      </c>
      <c r="B10" s="5" t="inlineStr">
        <is>
          <t>EXP-2025-109</t>
        </is>
      </c>
      <c r="C10" s="5" t="inlineStr">
        <is>
          <t>Vendor Payment</t>
        </is>
      </c>
      <c r="D10" s="5" t="inlineStr">
        <is>
          <t>Utility Bill</t>
        </is>
      </c>
      <c r="E10" s="5" t="inlineStr">
        <is>
          <t>Airtel</t>
        </is>
      </c>
      <c r="F10" s="6" t="n">
        <v>1457</v>
      </c>
      <c r="G10" s="7" t="n">
        <v>0.18</v>
      </c>
      <c r="H10" s="6">
        <f>F10*G10</f>
        <v/>
      </c>
      <c r="I10" s="6">
        <f>F10+H10</f>
        <v/>
      </c>
      <c r="J10" s="5" t="inlineStr">
        <is>
          <t>Bank Transfer</t>
        </is>
      </c>
      <c r="K10" s="5" t="inlineStr">
        <is>
          <t>Pending</t>
        </is>
      </c>
      <c r="L10" s="5" t="n"/>
    </row>
    <row r="11">
      <c r="A11" s="8" t="n">
        <v>45671</v>
      </c>
      <c r="B11" s="3" t="inlineStr">
        <is>
          <t>EXP-2025-110</t>
        </is>
      </c>
      <c r="C11" s="3" t="inlineStr">
        <is>
          <t>Travel &amp; Fuel</t>
        </is>
      </c>
      <c r="D11" s="3" t="inlineStr">
        <is>
          <t>Petrol/Diesel</t>
        </is>
      </c>
      <c r="E11" s="3" t="inlineStr">
        <is>
          <t>City Fuel Station</t>
        </is>
      </c>
      <c r="F11" s="9" t="n">
        <v>1591</v>
      </c>
      <c r="G11" s="10" t="n">
        <v>0.18</v>
      </c>
      <c r="H11" s="9">
        <f>F11*G11</f>
        <v/>
      </c>
      <c r="I11" s="9">
        <f>F11+H11</f>
        <v/>
      </c>
      <c r="J11" s="3" t="inlineStr">
        <is>
          <t>Bank Transfer</t>
        </is>
      </c>
      <c r="K11" s="3" t="inlineStr">
        <is>
          <t>Pending</t>
        </is>
      </c>
      <c r="L11" s="3" t="n"/>
    </row>
    <row r="12">
      <c r="A12" s="4" t="n">
        <v>45680</v>
      </c>
      <c r="B12" s="5" t="inlineStr">
        <is>
          <t>EXP-2025-111</t>
        </is>
      </c>
      <c r="C12" s="5" t="inlineStr">
        <is>
          <t>Miscellaneous</t>
        </is>
      </c>
      <c r="D12" s="5" t="inlineStr">
        <is>
          <t>Misc Purchase</t>
        </is>
      </c>
      <c r="E12" s="5" t="inlineStr">
        <is>
          <t>Office Depot</t>
        </is>
      </c>
      <c r="F12" s="6" t="n">
        <v>2030</v>
      </c>
      <c r="G12" s="7" t="n">
        <v>0.18</v>
      </c>
      <c r="H12" s="6">
        <f>F12*G12</f>
        <v/>
      </c>
      <c r="I12" s="6">
        <f>F12+H12</f>
        <v/>
      </c>
      <c r="J12" s="5" t="inlineStr">
        <is>
          <t>UPI</t>
        </is>
      </c>
      <c r="K12" s="5" t="inlineStr">
        <is>
          <t>Received</t>
        </is>
      </c>
      <c r="L12" s="5" t="n"/>
    </row>
    <row r="13">
      <c r="A13" s="8" t="n">
        <v>45659</v>
      </c>
      <c r="B13" s="3" t="inlineStr">
        <is>
          <t>EXP-2025-112</t>
        </is>
      </c>
      <c r="C13" s="3" t="inlineStr">
        <is>
          <t>Staff Salary</t>
        </is>
      </c>
      <c r="D13" s="3" t="inlineStr">
        <is>
          <t>Salary - Driver</t>
        </is>
      </c>
      <c r="E13" s="3" t="inlineStr">
        <is>
          <t>Kumar</t>
        </is>
      </c>
      <c r="F13" s="9" t="n">
        <v>29232</v>
      </c>
      <c r="G13" s="10" t="n">
        <v>0</v>
      </c>
      <c r="H13" s="9">
        <f>F13*G13</f>
        <v/>
      </c>
      <c r="I13" s="9">
        <f>F13+H13</f>
        <v/>
      </c>
      <c r="J13" s="3" t="inlineStr">
        <is>
          <t>Card</t>
        </is>
      </c>
      <c r="K13" s="3" t="inlineStr">
        <is>
          <t>Received</t>
        </is>
      </c>
      <c r="L13" s="3" t="n"/>
    </row>
    <row r="14">
      <c r="A14" s="4" t="n">
        <v>45685</v>
      </c>
      <c r="B14" s="5" t="inlineStr">
        <is>
          <t>EXP-2025-113</t>
        </is>
      </c>
      <c r="C14" s="5" t="inlineStr">
        <is>
          <t>Travel &amp; Fuel</t>
        </is>
      </c>
      <c r="D14" s="5" t="inlineStr">
        <is>
          <t>Petrol/Diesel</t>
        </is>
      </c>
      <c r="E14" s="5" t="inlineStr">
        <is>
          <t>City Fuel Station</t>
        </is>
      </c>
      <c r="F14" s="6" t="n">
        <v>1694</v>
      </c>
      <c r="G14" s="7" t="n">
        <v>0.18</v>
      </c>
      <c r="H14" s="6">
        <f>F14*G14</f>
        <v/>
      </c>
      <c r="I14" s="6">
        <f>F14+H14</f>
        <v/>
      </c>
      <c r="J14" s="5" t="inlineStr">
        <is>
          <t>Cash</t>
        </is>
      </c>
      <c r="K14" s="5" t="inlineStr">
        <is>
          <t>Received</t>
        </is>
      </c>
      <c r="L14" s="5" t="n"/>
    </row>
    <row r="15">
      <c r="A15" s="8" t="n">
        <v>45686</v>
      </c>
      <c r="B15" s="3" t="inlineStr">
        <is>
          <t>EXP-2025-114</t>
        </is>
      </c>
      <c r="C15" s="3" t="inlineStr">
        <is>
          <t>Travel &amp; Fuel</t>
        </is>
      </c>
      <c r="D15" s="3" t="inlineStr">
        <is>
          <t>Petrol/Diesel</t>
        </is>
      </c>
      <c r="E15" s="3" t="inlineStr">
        <is>
          <t>City Fuel Station</t>
        </is>
      </c>
      <c r="F15" s="9" t="n">
        <v>2865</v>
      </c>
      <c r="G15" s="10" t="n">
        <v>0.18</v>
      </c>
      <c r="H15" s="9">
        <f>F15*G15</f>
        <v/>
      </c>
      <c r="I15" s="9">
        <f>F15+H15</f>
        <v/>
      </c>
      <c r="J15" s="3" t="inlineStr">
        <is>
          <t>UPI</t>
        </is>
      </c>
      <c r="K15" s="3" t="inlineStr">
        <is>
          <t>Pending</t>
        </is>
      </c>
      <c r="L15" s="3" t="n"/>
    </row>
    <row r="16">
      <c r="A16" s="4" t="n">
        <v>45667</v>
      </c>
      <c r="B16" s="5" t="inlineStr">
        <is>
          <t>EXP-2025-115</t>
        </is>
      </c>
      <c r="C16" s="5" t="inlineStr">
        <is>
          <t>Staff Salary</t>
        </is>
      </c>
      <c r="D16" s="5" t="inlineStr">
        <is>
          <t>Salary - Helper</t>
        </is>
      </c>
      <c r="E16" s="5" t="inlineStr">
        <is>
          <t>Kumar</t>
        </is>
      </c>
      <c r="F16" s="6" t="n">
        <v>16874</v>
      </c>
      <c r="G16" s="7" t="n">
        <v>0</v>
      </c>
      <c r="H16" s="6">
        <f>F16*G16</f>
        <v/>
      </c>
      <c r="I16" s="6">
        <f>F16+H16</f>
        <v/>
      </c>
      <c r="J16" s="5" t="inlineStr">
        <is>
          <t>Cash</t>
        </is>
      </c>
      <c r="K16" s="5" t="inlineStr">
        <is>
          <t>Received</t>
        </is>
      </c>
      <c r="L16" s="5" t="n"/>
    </row>
    <row r="17">
      <c r="A17" s="8" t="n">
        <v>45666</v>
      </c>
      <c r="B17" s="3" t="inlineStr">
        <is>
          <t>EXP-2025-116</t>
        </is>
      </c>
      <c r="C17" s="3" t="inlineStr">
        <is>
          <t>Marketing</t>
        </is>
      </c>
      <c r="D17" s="3" t="inlineStr">
        <is>
          <t>Pamphlets</t>
        </is>
      </c>
      <c r="E17" s="3" t="inlineStr">
        <is>
          <t>Pamphlets</t>
        </is>
      </c>
      <c r="F17" s="9" t="n">
        <v>6030</v>
      </c>
      <c r="G17" s="10" t="n">
        <v>0.18</v>
      </c>
      <c r="H17" s="9">
        <f>F17*G17</f>
        <v/>
      </c>
      <c r="I17" s="9">
        <f>F17+H17</f>
        <v/>
      </c>
      <c r="J17" s="3" t="inlineStr">
        <is>
          <t>Bank Transfer</t>
        </is>
      </c>
      <c r="K17" s="3" t="inlineStr">
        <is>
          <t>Received</t>
        </is>
      </c>
      <c r="L17" s="3" t="n"/>
    </row>
    <row r="18">
      <c r="A18" s="4" t="n">
        <v>45671</v>
      </c>
      <c r="B18" s="5" t="inlineStr">
        <is>
          <t>EXP-2025-117</t>
        </is>
      </c>
      <c r="C18" s="5" t="inlineStr">
        <is>
          <t>Travel &amp; Fuel</t>
        </is>
      </c>
      <c r="D18" s="5" t="inlineStr">
        <is>
          <t>Petrol/Diesel</t>
        </is>
      </c>
      <c r="E18" s="5" t="inlineStr">
        <is>
          <t>City Fuel Station</t>
        </is>
      </c>
      <c r="F18" s="6" t="n">
        <v>1153</v>
      </c>
      <c r="G18" s="7" t="n">
        <v>0.18</v>
      </c>
      <c r="H18" s="6">
        <f>F18*G18</f>
        <v/>
      </c>
      <c r="I18" s="6">
        <f>F18+H18</f>
        <v/>
      </c>
      <c r="J18" s="5" t="inlineStr">
        <is>
          <t>UPI</t>
        </is>
      </c>
      <c r="K18" s="5" t="inlineStr">
        <is>
          <t>Pending</t>
        </is>
      </c>
      <c r="L18" s="5" t="n"/>
    </row>
    <row r="19">
      <c r="A19" s="8" t="n">
        <v>45685</v>
      </c>
      <c r="B19" s="3" t="inlineStr">
        <is>
          <t>EXP-2025-118</t>
        </is>
      </c>
      <c r="C19" s="3" t="inlineStr">
        <is>
          <t>Vendor Payment</t>
        </is>
      </c>
      <c r="D19" s="3" t="inlineStr">
        <is>
          <t>Misc Purchase</t>
        </is>
      </c>
      <c r="E19" s="3" t="inlineStr">
        <is>
          <t>Airtel</t>
        </is>
      </c>
      <c r="F19" s="9" t="n">
        <v>3280</v>
      </c>
      <c r="G19" s="10" t="n">
        <v>0.18</v>
      </c>
      <c r="H19" s="9">
        <f>F19*G19</f>
        <v/>
      </c>
      <c r="I19" s="9">
        <f>F19+H19</f>
        <v/>
      </c>
      <c r="J19" s="3" t="inlineStr">
        <is>
          <t>Bank Transfer</t>
        </is>
      </c>
      <c r="K19" s="3" t="inlineStr">
        <is>
          <t>Pending</t>
        </is>
      </c>
      <c r="L19" s="3" t="n"/>
    </row>
    <row r="20">
      <c r="A20" s="4" t="n">
        <v>45664</v>
      </c>
      <c r="B20" s="5" t="inlineStr">
        <is>
          <t>EXP-2025-119</t>
        </is>
      </c>
      <c r="C20" s="5" t="inlineStr">
        <is>
          <t>Office Expenses</t>
        </is>
      </c>
      <c r="D20" s="5" t="inlineStr">
        <is>
          <t>Office Supplies</t>
        </is>
      </c>
      <c r="E20" s="5" t="inlineStr">
        <is>
          <t>Ramesh (Driver)</t>
        </is>
      </c>
      <c r="F20" s="6" t="n">
        <v>4808</v>
      </c>
      <c r="G20" s="7" t="n">
        <v>0.18</v>
      </c>
      <c r="H20" s="6">
        <f>F20*G20</f>
        <v/>
      </c>
      <c r="I20" s="6">
        <f>F20+H20</f>
        <v/>
      </c>
      <c r="J20" s="5" t="inlineStr">
        <is>
          <t>Cash</t>
        </is>
      </c>
      <c r="K20" s="5" t="inlineStr">
        <is>
          <t>Received</t>
        </is>
      </c>
      <c r="L20" s="5" t="n"/>
    </row>
    <row r="21">
      <c r="A21" s="8" t="n">
        <v>45660</v>
      </c>
      <c r="B21" s="3" t="inlineStr">
        <is>
          <t>EXP-2025-120</t>
        </is>
      </c>
      <c r="C21" s="3" t="inlineStr">
        <is>
          <t>Office Expenses</t>
        </is>
      </c>
      <c r="D21" s="3" t="inlineStr">
        <is>
          <t>Utility Bill</t>
        </is>
      </c>
      <c r="E21" s="3" t="inlineStr">
        <is>
          <t>City Fuel Station</t>
        </is>
      </c>
      <c r="F21" s="9" t="n">
        <v>4673</v>
      </c>
      <c r="G21" s="10" t="n">
        <v>0.18</v>
      </c>
      <c r="H21" s="9">
        <f>F21*G21</f>
        <v/>
      </c>
      <c r="I21" s="9">
        <f>F21+H21</f>
        <v/>
      </c>
      <c r="J21" s="3" t="inlineStr">
        <is>
          <t>UPI</t>
        </is>
      </c>
      <c r="K21" s="3" t="inlineStr">
        <is>
          <t>Pending</t>
        </is>
      </c>
      <c r="L21" s="3" t="n"/>
    </row>
  </sheetData>
  <dataValidations count="4">
    <dataValidation sqref="C2:C1000" showDropDown="0" showInputMessage="0" showErrorMessage="0" allowBlank="1" type="list">
      <formula1>"Staff Salary,Vendor Payment,Travel &amp; Fuel,Marketing,Office Expenses,Miscellaneous"</formula1>
    </dataValidation>
    <dataValidation sqref="K2:K1000" showDropDown="0" showInputMessage="0" showErrorMessage="0" allowBlank="1" type="list">
      <formula1>"Cash,UPI,Bank Transfer,Card"</formula1>
    </dataValidation>
    <dataValidation sqref="L2:L1000" showDropDown="0" showInputMessage="0" showErrorMessage="0" allowBlank="1" type="list">
      <formula1>"Received,Pending"</formula1>
    </dataValidation>
    <dataValidation sqref="G2:G1000 H2:H1000 I2:I1000 L2:L1000" showDropDown="0" showInputMessage="0" showErrorMessage="0" allowBlank="1" type="list">
      <formula1>"5%,12%,18%"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8" customWidth="1" min="4" max="4"/>
    <col width="15" customWidth="1" min="5" max="5"/>
    <col width="15" customWidth="1" min="6" max="6"/>
    <col width="2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Date</t>
        </is>
      </c>
      <c r="B1" s="2" t="inlineStr">
        <is>
          <t>Purchase ID</t>
        </is>
      </c>
      <c r="C1" s="2" t="inlineStr">
        <is>
          <t>Vendor Name</t>
        </is>
      </c>
      <c r="D1" s="2" t="inlineStr">
        <is>
          <t>Vendor GSTIN</t>
        </is>
      </c>
      <c r="E1" s="2" t="inlineStr">
        <is>
          <t>Invoice No</t>
        </is>
      </c>
      <c r="F1" s="2" t="inlineStr">
        <is>
          <t>Item Type</t>
        </is>
      </c>
      <c r="G1" s="2" t="inlineStr">
        <is>
          <t>Item Name</t>
        </is>
      </c>
      <c r="H1" s="2" t="inlineStr">
        <is>
          <t>Quantity</t>
        </is>
      </c>
      <c r="I1" s="2" t="inlineStr">
        <is>
          <t>Unit</t>
        </is>
      </c>
      <c r="J1" s="2" t="inlineStr">
        <is>
          <t>Rate (₹)</t>
        </is>
      </c>
      <c r="K1" s="2" t="inlineStr">
        <is>
          <t>Base Amount (₹)</t>
        </is>
      </c>
      <c r="L1" s="2" t="inlineStr">
        <is>
          <t>GST %</t>
        </is>
      </c>
      <c r="M1" s="2" t="inlineStr">
        <is>
          <t>GST Amount (₹)</t>
        </is>
      </c>
      <c r="N1" s="2" t="inlineStr">
        <is>
          <t>Total Amount (₹)</t>
        </is>
      </c>
      <c r="O1" s="2" t="inlineStr">
        <is>
          <t>Payment Status</t>
        </is>
      </c>
      <c r="P1" s="2" t="inlineStr">
        <is>
          <t>Notes</t>
        </is>
      </c>
    </row>
    <row r="2">
      <c r="A2" s="4" t="n">
        <v>45671</v>
      </c>
      <c r="B2" s="5" t="inlineStr">
        <is>
          <t>PO-2025-201</t>
        </is>
      </c>
      <c r="C2" s="5" t="inlineStr">
        <is>
          <t>SafeGuard Equipment</t>
        </is>
      </c>
      <c r="D2" s="5" t="inlineStr">
        <is>
          <t>29AABCG3456D4ZY</t>
        </is>
      </c>
      <c r="E2" s="5" t="inlineStr">
        <is>
          <t>INV/6110</t>
        </is>
      </c>
      <c r="F2" s="5" t="inlineStr">
        <is>
          <t>Chemical</t>
        </is>
      </c>
      <c r="G2" s="5" t="inlineStr">
        <is>
          <t>Surface Disinfectant</t>
        </is>
      </c>
      <c r="H2" s="5" t="n">
        <v>80</v>
      </c>
      <c r="I2" s="5" t="inlineStr">
        <is>
          <t>Liters</t>
        </is>
      </c>
      <c r="J2" s="6" t="n">
        <v>180</v>
      </c>
      <c r="K2" s="6">
        <f>H2*J2</f>
        <v/>
      </c>
      <c r="L2" s="7" t="n">
        <v>0.18</v>
      </c>
      <c r="M2" s="6">
        <f>K2*L2</f>
        <v/>
      </c>
      <c r="N2" s="6">
        <f>K2+M2</f>
        <v/>
      </c>
      <c r="O2" s="5" t="inlineStr">
        <is>
          <t>Pending</t>
        </is>
      </c>
      <c r="P2" s="5" t="n"/>
    </row>
    <row r="3">
      <c r="A3" s="8" t="n">
        <v>45677</v>
      </c>
      <c r="B3" s="3" t="inlineStr">
        <is>
          <t>PO-2025-202</t>
        </is>
      </c>
      <c r="C3" s="3" t="inlineStr">
        <is>
          <t>Metro Cleaning Supplies</t>
        </is>
      </c>
      <c r="D3" s="3" t="inlineStr">
        <is>
          <t>29AABCM9012C3ZX</t>
        </is>
      </c>
      <c r="E3" s="3" t="inlineStr">
        <is>
          <t>INV/5603</t>
        </is>
      </c>
      <c r="F3" s="3" t="inlineStr">
        <is>
          <t>Accessory</t>
        </is>
      </c>
      <c r="G3" s="3" t="inlineStr">
        <is>
          <t>Rubber Gloves</t>
        </is>
      </c>
      <c r="H3" s="3" t="n">
        <v>97</v>
      </c>
      <c r="I3" s="3" t="inlineStr">
        <is>
          <t>Pairs</t>
        </is>
      </c>
      <c r="J3" s="9" t="n">
        <v>45</v>
      </c>
      <c r="K3" s="9">
        <f>H3*J3</f>
        <v/>
      </c>
      <c r="L3" s="10" t="n">
        <v>0.18</v>
      </c>
      <c r="M3" s="9">
        <f>K3*L3</f>
        <v/>
      </c>
      <c r="N3" s="9">
        <f>K3+M3</f>
        <v/>
      </c>
      <c r="O3" s="3" t="inlineStr">
        <is>
          <t>Pending</t>
        </is>
      </c>
      <c r="P3" s="3" t="n"/>
    </row>
    <row r="4">
      <c r="A4" s="4" t="n">
        <v>45677</v>
      </c>
      <c r="B4" s="5" t="inlineStr">
        <is>
          <t>PO-2025-203</t>
        </is>
      </c>
      <c r="C4" s="5" t="inlineStr">
        <is>
          <t>Metro Cleaning Supplies</t>
        </is>
      </c>
      <c r="D4" s="5" t="inlineStr">
        <is>
          <t>29AABCM9012C3ZX</t>
        </is>
      </c>
      <c r="E4" s="5" t="inlineStr">
        <is>
          <t>INV/6152</t>
        </is>
      </c>
      <c r="F4" s="5" t="inlineStr">
        <is>
          <t>Accessory</t>
        </is>
      </c>
      <c r="G4" s="5" t="inlineStr">
        <is>
          <t>Scrub Brush</t>
        </is>
      </c>
      <c r="H4" s="5" t="n">
        <v>83</v>
      </c>
      <c r="I4" s="5" t="inlineStr">
        <is>
          <t>Pieces</t>
        </is>
      </c>
      <c r="J4" s="6" t="n">
        <v>45</v>
      </c>
      <c r="K4" s="6">
        <f>H4*J4</f>
        <v/>
      </c>
      <c r="L4" s="7" t="n">
        <v>0.18</v>
      </c>
      <c r="M4" s="6">
        <f>K4*L4</f>
        <v/>
      </c>
      <c r="N4" s="6">
        <f>K4+M4</f>
        <v/>
      </c>
      <c r="O4" s="5" t="inlineStr">
        <is>
          <t>Pending</t>
        </is>
      </c>
      <c r="P4" s="5" t="n"/>
    </row>
    <row r="5">
      <c r="A5" s="8" t="n">
        <v>45659</v>
      </c>
      <c r="B5" s="3" t="inlineStr">
        <is>
          <t>PO-2025-204</t>
        </is>
      </c>
      <c r="C5" s="3" t="inlineStr">
        <is>
          <t>Metro Cleaning Supplies</t>
        </is>
      </c>
      <c r="D5" s="3" t="inlineStr">
        <is>
          <t>29AABCM9012C3ZX</t>
        </is>
      </c>
      <c r="E5" s="3" t="inlineStr">
        <is>
          <t>INV/3382</t>
        </is>
      </c>
      <c r="F5" s="3" t="inlineStr">
        <is>
          <t>Chemical</t>
        </is>
      </c>
      <c r="G5" s="3" t="inlineStr">
        <is>
          <t>Floor Cleaner</t>
        </is>
      </c>
      <c r="H5" s="3" t="n">
        <v>33</v>
      </c>
      <c r="I5" s="3" t="inlineStr">
        <is>
          <t>Liters</t>
        </is>
      </c>
      <c r="J5" s="9" t="n">
        <v>120</v>
      </c>
      <c r="K5" s="9">
        <f>H5*J5</f>
        <v/>
      </c>
      <c r="L5" s="10" t="n">
        <v>0.18</v>
      </c>
      <c r="M5" s="9">
        <f>K5*L5</f>
        <v/>
      </c>
      <c r="N5" s="9">
        <f>K5+M5</f>
        <v/>
      </c>
      <c r="O5" s="3" t="inlineStr">
        <is>
          <t>Paid</t>
        </is>
      </c>
      <c r="P5" s="3" t="n"/>
    </row>
    <row r="6">
      <c r="A6" s="4" t="n">
        <v>45663</v>
      </c>
      <c r="B6" s="5" t="inlineStr">
        <is>
          <t>PO-2025-205</t>
        </is>
      </c>
      <c r="C6" s="5" t="inlineStr">
        <is>
          <t>Kumar Chemicals Pvt Ltd</t>
        </is>
      </c>
      <c r="D6" s="5" t="inlineStr">
        <is>
          <t>29AABCK1234A1ZV</t>
        </is>
      </c>
      <c r="E6" s="5" t="inlineStr">
        <is>
          <t>INV/4441</t>
        </is>
      </c>
      <c r="F6" s="5" t="inlineStr">
        <is>
          <t>Chemical</t>
        </is>
      </c>
      <c r="G6" s="5" t="inlineStr">
        <is>
          <t>Pesticide Spray</t>
        </is>
      </c>
      <c r="H6" s="5" t="n">
        <v>16</v>
      </c>
      <c r="I6" s="5" t="inlineStr">
        <is>
          <t>Cans</t>
        </is>
      </c>
      <c r="J6" s="6" t="n">
        <v>350</v>
      </c>
      <c r="K6" s="6">
        <f>H6*J6</f>
        <v/>
      </c>
      <c r="L6" s="7" t="n">
        <v>0.18</v>
      </c>
      <c r="M6" s="6">
        <f>K6*L6</f>
        <v/>
      </c>
      <c r="N6" s="6">
        <f>K6+M6</f>
        <v/>
      </c>
      <c r="O6" s="5" t="inlineStr">
        <is>
          <t>Pending</t>
        </is>
      </c>
      <c r="P6" s="5" t="n"/>
    </row>
    <row r="7">
      <c r="A7" s="8" t="n">
        <v>45674</v>
      </c>
      <c r="B7" s="3" t="inlineStr">
        <is>
          <t>PO-2025-206</t>
        </is>
      </c>
      <c r="C7" s="3" t="inlineStr">
        <is>
          <t>City Supplies</t>
        </is>
      </c>
      <c r="D7" s="3" t="inlineStr">
        <is>
          <t>29AABCS5678B2ZW</t>
        </is>
      </c>
      <c r="E7" s="3" t="inlineStr">
        <is>
          <t>INV/2293</t>
        </is>
      </c>
      <c r="F7" s="3" t="inlineStr">
        <is>
          <t>Chemical</t>
        </is>
      </c>
      <c r="G7" s="3" t="inlineStr">
        <is>
          <t>Surface Disinfectant</t>
        </is>
      </c>
      <c r="H7" s="3" t="n">
        <v>84</v>
      </c>
      <c r="I7" s="3" t="inlineStr">
        <is>
          <t>Liters</t>
        </is>
      </c>
      <c r="J7" s="9" t="n">
        <v>180</v>
      </c>
      <c r="K7" s="9">
        <f>H7*J7</f>
        <v/>
      </c>
      <c r="L7" s="10" t="n">
        <v>0.18</v>
      </c>
      <c r="M7" s="9">
        <f>K7*L7</f>
        <v/>
      </c>
      <c r="N7" s="9">
        <f>K7+M7</f>
        <v/>
      </c>
      <c r="O7" s="3" t="inlineStr">
        <is>
          <t>Pending</t>
        </is>
      </c>
      <c r="P7" s="3" t="n"/>
    </row>
    <row r="8">
      <c r="A8" s="4" t="n">
        <v>45683</v>
      </c>
      <c r="B8" s="5" t="inlineStr">
        <is>
          <t>PO-2025-207</t>
        </is>
      </c>
      <c r="C8" s="5" t="inlineStr">
        <is>
          <t>Kumar Chemicals Pvt Ltd</t>
        </is>
      </c>
      <c r="D8" s="5" t="inlineStr">
        <is>
          <t>29AABCK1234A1ZV</t>
        </is>
      </c>
      <c r="E8" s="5" t="inlineStr">
        <is>
          <t>INV/7554</t>
        </is>
      </c>
      <c r="F8" s="5" t="inlineStr">
        <is>
          <t>Accessory</t>
        </is>
      </c>
      <c r="G8" s="5" t="inlineStr">
        <is>
          <t>Microfiber Cloth</t>
        </is>
      </c>
      <c r="H8" s="5" t="n">
        <v>69</v>
      </c>
      <c r="I8" s="5" t="inlineStr">
        <is>
          <t>Pieces</t>
        </is>
      </c>
      <c r="J8" s="6" t="n">
        <v>80</v>
      </c>
      <c r="K8" s="6">
        <f>H8*J8</f>
        <v/>
      </c>
      <c r="L8" s="7" t="n">
        <v>0.18</v>
      </c>
      <c r="M8" s="6">
        <f>K8*L8</f>
        <v/>
      </c>
      <c r="N8" s="6">
        <f>K8+M8</f>
        <v/>
      </c>
      <c r="O8" s="5" t="inlineStr">
        <is>
          <t>Pending</t>
        </is>
      </c>
      <c r="P8" s="5" t="n"/>
    </row>
    <row r="9">
      <c r="A9" s="8" t="n">
        <v>45670</v>
      </c>
      <c r="B9" s="3" t="inlineStr">
        <is>
          <t>PO-2025-208</t>
        </is>
      </c>
      <c r="C9" s="3" t="inlineStr">
        <is>
          <t>SafeGuard Equipment</t>
        </is>
      </c>
      <c r="D9" s="3" t="inlineStr">
        <is>
          <t>29AABCG3456D4ZY</t>
        </is>
      </c>
      <c r="E9" s="3" t="inlineStr">
        <is>
          <t>INV/9562</t>
        </is>
      </c>
      <c r="F9" s="3" t="inlineStr">
        <is>
          <t>Accessory</t>
        </is>
      </c>
      <c r="G9" s="3" t="inlineStr">
        <is>
          <t>Rubber Gloves</t>
        </is>
      </c>
      <c r="H9" s="3" t="n">
        <v>70</v>
      </c>
      <c r="I9" s="3" t="inlineStr">
        <is>
          <t>Pairs</t>
        </is>
      </c>
      <c r="J9" s="9" t="n">
        <v>45</v>
      </c>
      <c r="K9" s="9">
        <f>H9*J9</f>
        <v/>
      </c>
      <c r="L9" s="10" t="n">
        <v>0.18</v>
      </c>
      <c r="M9" s="9">
        <f>K9*L9</f>
        <v/>
      </c>
      <c r="N9" s="9">
        <f>K9+M9</f>
        <v/>
      </c>
      <c r="O9" s="3" t="inlineStr">
        <is>
          <t>Paid</t>
        </is>
      </c>
      <c r="P9" s="3" t="n"/>
    </row>
    <row r="10">
      <c r="A10" s="4" t="n">
        <v>45662</v>
      </c>
      <c r="B10" s="5" t="inlineStr">
        <is>
          <t>PO-2025-209</t>
        </is>
      </c>
      <c r="C10" s="5" t="inlineStr">
        <is>
          <t>City Supplies</t>
        </is>
      </c>
      <c r="D10" s="5" t="inlineStr">
        <is>
          <t>29AABCS5678B2ZW</t>
        </is>
      </c>
      <c r="E10" s="5" t="inlineStr">
        <is>
          <t>INV/5918</t>
        </is>
      </c>
      <c r="F10" s="5" t="inlineStr">
        <is>
          <t>Accessory</t>
        </is>
      </c>
      <c r="G10" s="5" t="inlineStr">
        <is>
          <t>Microfiber Cloth</t>
        </is>
      </c>
      <c r="H10" s="5" t="n">
        <v>86</v>
      </c>
      <c r="I10" s="5" t="inlineStr">
        <is>
          <t>Pieces</t>
        </is>
      </c>
      <c r="J10" s="6" t="n">
        <v>80</v>
      </c>
      <c r="K10" s="6">
        <f>H10*J10</f>
        <v/>
      </c>
      <c r="L10" s="7" t="n">
        <v>0.18</v>
      </c>
      <c r="M10" s="6">
        <f>K10*L10</f>
        <v/>
      </c>
      <c r="N10" s="6">
        <f>K10+M10</f>
        <v/>
      </c>
      <c r="O10" s="5" t="inlineStr">
        <is>
          <t>Paid</t>
        </is>
      </c>
      <c r="P10" s="5" t="n"/>
    </row>
    <row r="11">
      <c r="A11" s="8" t="n">
        <v>45668</v>
      </c>
      <c r="B11" s="3" t="inlineStr">
        <is>
          <t>PO-2025-210</t>
        </is>
      </c>
      <c r="C11" s="3" t="inlineStr">
        <is>
          <t>Metro Cleaning Supplies</t>
        </is>
      </c>
      <c r="D11" s="3" t="inlineStr">
        <is>
          <t>29AABCM9012C3ZX</t>
        </is>
      </c>
      <c r="E11" s="3" t="inlineStr">
        <is>
          <t>INV/2653</t>
        </is>
      </c>
      <c r="F11" s="3" t="inlineStr">
        <is>
          <t>Accessory</t>
        </is>
      </c>
      <c r="G11" s="3" t="inlineStr">
        <is>
          <t>Scrub Brush</t>
        </is>
      </c>
      <c r="H11" s="3" t="n">
        <v>40</v>
      </c>
      <c r="I11" s="3" t="inlineStr">
        <is>
          <t>Pieces</t>
        </is>
      </c>
      <c r="J11" s="9" t="n">
        <v>45</v>
      </c>
      <c r="K11" s="9">
        <f>H11*J11</f>
        <v/>
      </c>
      <c r="L11" s="10" t="n">
        <v>0.18</v>
      </c>
      <c r="M11" s="9">
        <f>K11*L11</f>
        <v/>
      </c>
      <c r="N11" s="9">
        <f>K11+M11</f>
        <v/>
      </c>
      <c r="O11" s="3" t="inlineStr">
        <is>
          <t>Pending</t>
        </is>
      </c>
      <c r="P11" s="3" t="n"/>
    </row>
    <row r="12">
      <c r="A12" s="4" t="n">
        <v>45675</v>
      </c>
      <c r="B12" s="5" t="inlineStr">
        <is>
          <t>PO-2025-211</t>
        </is>
      </c>
      <c r="C12" s="5" t="inlineStr">
        <is>
          <t>Kumar Chemicals Pvt Ltd</t>
        </is>
      </c>
      <c r="D12" s="5" t="inlineStr">
        <is>
          <t>29AABCK1234A1ZV</t>
        </is>
      </c>
      <c r="E12" s="5" t="inlineStr">
        <is>
          <t>INV/1519</t>
        </is>
      </c>
      <c r="F12" s="5" t="inlineStr">
        <is>
          <t>Chemical</t>
        </is>
      </c>
      <c r="G12" s="5" t="inlineStr">
        <is>
          <t>Glass Cleaner</t>
        </is>
      </c>
      <c r="H12" s="5" t="n">
        <v>47</v>
      </c>
      <c r="I12" s="5" t="inlineStr">
        <is>
          <t>Liters</t>
        </is>
      </c>
      <c r="J12" s="6" t="n">
        <v>95</v>
      </c>
      <c r="K12" s="6">
        <f>H12*J12</f>
        <v/>
      </c>
      <c r="L12" s="7" t="n">
        <v>0.18</v>
      </c>
      <c r="M12" s="6">
        <f>K12*L12</f>
        <v/>
      </c>
      <c r="N12" s="6">
        <f>K12+M12</f>
        <v/>
      </c>
      <c r="O12" s="5" t="inlineStr">
        <is>
          <t>Paid</t>
        </is>
      </c>
      <c r="P12" s="5" t="n"/>
    </row>
    <row r="13">
      <c r="A13" s="8" t="n">
        <v>45660</v>
      </c>
      <c r="B13" s="3" t="inlineStr">
        <is>
          <t>PO-2025-212</t>
        </is>
      </c>
      <c r="C13" s="3" t="inlineStr">
        <is>
          <t>SafeGuard Equipment</t>
        </is>
      </c>
      <c r="D13" s="3" t="inlineStr">
        <is>
          <t>29AABCG3456D4ZY</t>
        </is>
      </c>
      <c r="E13" s="3" t="inlineStr">
        <is>
          <t>INV/1526</t>
        </is>
      </c>
      <c r="F13" s="3" t="inlineStr">
        <is>
          <t>Chemical</t>
        </is>
      </c>
      <c r="G13" s="3" t="inlineStr">
        <is>
          <t>Glass Cleaner</t>
        </is>
      </c>
      <c r="H13" s="3" t="n">
        <v>63</v>
      </c>
      <c r="I13" s="3" t="inlineStr">
        <is>
          <t>Liters</t>
        </is>
      </c>
      <c r="J13" s="9" t="n">
        <v>95</v>
      </c>
      <c r="K13" s="9">
        <f>H13*J13</f>
        <v/>
      </c>
      <c r="L13" s="10" t="n">
        <v>0.18</v>
      </c>
      <c r="M13" s="9">
        <f>K13*L13</f>
        <v/>
      </c>
      <c r="N13" s="9">
        <f>K13+M13</f>
        <v/>
      </c>
      <c r="O13" s="3" t="inlineStr">
        <is>
          <t>Paid</t>
        </is>
      </c>
      <c r="P13" s="3" t="n"/>
    </row>
    <row r="14">
      <c r="A14" s="4" t="n">
        <v>45664</v>
      </c>
      <c r="B14" s="5" t="inlineStr">
        <is>
          <t>PO-2025-213</t>
        </is>
      </c>
      <c r="C14" s="5" t="inlineStr">
        <is>
          <t>Metro Cleaning Supplies</t>
        </is>
      </c>
      <c r="D14" s="5" t="inlineStr">
        <is>
          <t>29AABCM9012C3ZX</t>
        </is>
      </c>
      <c r="E14" s="5" t="inlineStr">
        <is>
          <t>INV/1925</t>
        </is>
      </c>
      <c r="F14" s="5" t="inlineStr">
        <is>
          <t>Accessory</t>
        </is>
      </c>
      <c r="G14" s="5" t="inlineStr">
        <is>
          <t>Microfiber Cloth</t>
        </is>
      </c>
      <c r="H14" s="5" t="n">
        <v>65</v>
      </c>
      <c r="I14" s="5" t="inlineStr">
        <is>
          <t>Pieces</t>
        </is>
      </c>
      <c r="J14" s="6" t="n">
        <v>80</v>
      </c>
      <c r="K14" s="6">
        <f>H14*J14</f>
        <v/>
      </c>
      <c r="L14" s="7" t="n">
        <v>0.18</v>
      </c>
      <c r="M14" s="6">
        <f>K14*L14</f>
        <v/>
      </c>
      <c r="N14" s="6">
        <f>K14+M14</f>
        <v/>
      </c>
      <c r="O14" s="5" t="inlineStr">
        <is>
          <t>Pending</t>
        </is>
      </c>
      <c r="P14" s="5" t="n"/>
    </row>
    <row r="15">
      <c r="A15" s="8" t="n">
        <v>45676</v>
      </c>
      <c r="B15" s="3" t="inlineStr">
        <is>
          <t>PO-2025-214</t>
        </is>
      </c>
      <c r="C15" s="3" t="inlineStr">
        <is>
          <t>City Supplies</t>
        </is>
      </c>
      <c r="D15" s="3" t="inlineStr">
        <is>
          <t>29AABCS5678B2ZW</t>
        </is>
      </c>
      <c r="E15" s="3" t="inlineStr">
        <is>
          <t>INV/6706</t>
        </is>
      </c>
      <c r="F15" s="3" t="inlineStr">
        <is>
          <t>Chemical</t>
        </is>
      </c>
      <c r="G15" s="3" t="inlineStr">
        <is>
          <t>Pesticide Spray</t>
        </is>
      </c>
      <c r="H15" s="3" t="n">
        <v>52</v>
      </c>
      <c r="I15" s="3" t="inlineStr">
        <is>
          <t>Cans</t>
        </is>
      </c>
      <c r="J15" s="9" t="n">
        <v>350</v>
      </c>
      <c r="K15" s="9">
        <f>H15*J15</f>
        <v/>
      </c>
      <c r="L15" s="10" t="n">
        <v>0.18</v>
      </c>
      <c r="M15" s="9">
        <f>K15*L15</f>
        <v/>
      </c>
      <c r="N15" s="9">
        <f>K15+M15</f>
        <v/>
      </c>
      <c r="O15" s="3" t="inlineStr">
        <is>
          <t>Paid</t>
        </is>
      </c>
      <c r="P15" s="3" t="n"/>
    </row>
    <row r="16">
      <c r="A16" s="4" t="n">
        <v>45684</v>
      </c>
      <c r="B16" s="5" t="inlineStr">
        <is>
          <t>PO-2025-215</t>
        </is>
      </c>
      <c r="C16" s="5" t="inlineStr">
        <is>
          <t>Kumar Chemicals Pvt Ltd</t>
        </is>
      </c>
      <c r="D16" s="5" t="inlineStr">
        <is>
          <t>29AABCK1234A1ZV</t>
        </is>
      </c>
      <c r="E16" s="5" t="inlineStr">
        <is>
          <t>INV/1259</t>
        </is>
      </c>
      <c r="F16" s="5" t="inlineStr">
        <is>
          <t>Chemical</t>
        </is>
      </c>
      <c r="G16" s="5" t="inlineStr">
        <is>
          <t>Pesticide Spray</t>
        </is>
      </c>
      <c r="H16" s="5" t="n">
        <v>90</v>
      </c>
      <c r="I16" s="5" t="inlineStr">
        <is>
          <t>Cans</t>
        </is>
      </c>
      <c r="J16" s="6" t="n">
        <v>350</v>
      </c>
      <c r="K16" s="6">
        <f>H16*J16</f>
        <v/>
      </c>
      <c r="L16" s="7" t="n">
        <v>0.18</v>
      </c>
      <c r="M16" s="6">
        <f>K16*L16</f>
        <v/>
      </c>
      <c r="N16" s="6">
        <f>K16+M16</f>
        <v/>
      </c>
      <c r="O16" s="5" t="inlineStr">
        <is>
          <t>Paid</t>
        </is>
      </c>
      <c r="P16" s="5" t="n"/>
    </row>
  </sheetData>
  <dataValidations count="3">
    <dataValidation sqref="C2:C1000 F2:F1000" showDropDown="0" showInputMessage="0" showErrorMessage="0" allowBlank="1" type="list">
      <formula1>"Chemical,Accessory,Machine,Spare Part"</formula1>
    </dataValidation>
    <dataValidation sqref="O2:O1000" showDropDown="0" showInputMessage="0" showErrorMessage="0" allowBlank="1" type="list">
      <formula1>"Paid,Pending"</formula1>
    </dataValidation>
    <dataValidation sqref="G2:G1000 H2:H1000 I2:I1000 L2:L1000" showDropDown="0" showInputMessage="0" showErrorMessage="0" allowBlank="1" type="list">
      <formula1>"5%,12%,18%"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Machine ID</t>
        </is>
      </c>
      <c r="B1" s="2" t="inlineStr">
        <is>
          <t>Machine Name</t>
        </is>
      </c>
      <c r="C1" s="2" t="inlineStr">
        <is>
          <t>Model</t>
        </is>
      </c>
      <c r="D1" s="2" t="inlineStr">
        <is>
          <t>Category</t>
        </is>
      </c>
      <c r="E1" s="2" t="inlineStr">
        <is>
          <t>Purchase Date</t>
        </is>
      </c>
      <c r="F1" s="2" t="inlineStr">
        <is>
          <t>Base Cost (₹)</t>
        </is>
      </c>
      <c r="G1" s="2" t="inlineStr">
        <is>
          <t>GST %</t>
        </is>
      </c>
      <c r="H1" s="2" t="inlineStr">
        <is>
          <t>GST Amount (₹)</t>
        </is>
      </c>
      <c r="I1" s="2" t="inlineStr">
        <is>
          <t>Total Cost (₹)</t>
        </is>
      </c>
      <c r="J1" s="2" t="inlineStr">
        <is>
          <t>Current Status</t>
        </is>
      </c>
      <c r="K1" s="2" t="inlineStr">
        <is>
          <t>Location/Assigned To</t>
        </is>
      </c>
      <c r="L1" s="2" t="inlineStr">
        <is>
          <t>Notes</t>
        </is>
      </c>
    </row>
    <row r="2">
      <c r="A2" s="5" t="inlineStr">
        <is>
          <t>M001</t>
        </is>
      </c>
      <c r="B2" s="5" t="inlineStr">
        <is>
          <t>Floor Scrubber</t>
        </is>
      </c>
      <c r="C2" s="5" t="inlineStr">
        <is>
          <t>Karcher BD 50/50</t>
        </is>
      </c>
      <c r="D2" s="5" t="inlineStr">
        <is>
          <t>Cleaning Machine</t>
        </is>
      </c>
      <c r="E2" s="4" t="n">
        <v>45000</v>
      </c>
      <c r="F2" s="6" t="n">
        <v>72034</v>
      </c>
      <c r="G2" s="7" t="n">
        <v>0.18</v>
      </c>
      <c r="H2" s="6">
        <f>F2*G2</f>
        <v/>
      </c>
      <c r="I2" s="6">
        <f>F2+H2</f>
        <v/>
      </c>
      <c r="J2" s="5" t="inlineStr">
        <is>
          <t>Active</t>
        </is>
      </c>
      <c r="K2" s="5" t="inlineStr">
        <is>
          <t>Team A</t>
        </is>
      </c>
      <c r="L2" s="5" t="n"/>
    </row>
    <row r="3">
      <c r="A3" s="3" t="inlineStr">
        <is>
          <t>M002</t>
        </is>
      </c>
      <c r="B3" s="3" t="inlineStr">
        <is>
          <t>Pressure Washer</t>
        </is>
      </c>
      <c r="C3" s="3" t="inlineStr">
        <is>
          <t>Bosch AQT 45-14X</t>
        </is>
      </c>
      <c r="D3" s="3" t="inlineStr">
        <is>
          <t>Cleaning Machine</t>
        </is>
      </c>
      <c r="E3" s="8" t="n">
        <v>45066</v>
      </c>
      <c r="F3" s="9" t="n">
        <v>38136</v>
      </c>
      <c r="G3" s="10" t="n">
        <v>0.18</v>
      </c>
      <c r="H3" s="9">
        <f>F3*G3</f>
        <v/>
      </c>
      <c r="I3" s="9">
        <f>F3+H3</f>
        <v/>
      </c>
      <c r="J3" s="3" t="inlineStr">
        <is>
          <t>Active</t>
        </is>
      </c>
      <c r="K3" s="3" t="inlineStr">
        <is>
          <t>Team B</t>
        </is>
      </c>
      <c r="L3" s="3" t="n"/>
    </row>
    <row r="4">
      <c r="A4" s="5" t="inlineStr">
        <is>
          <t>M003</t>
        </is>
      </c>
      <c r="B4" s="5" t="inlineStr">
        <is>
          <t>Vacuum Cleaner</t>
        </is>
      </c>
      <c r="C4" s="5" t="inlineStr">
        <is>
          <t>Eureka Forbes Pro</t>
        </is>
      </c>
      <c r="D4" s="5" t="inlineStr">
        <is>
          <t>Cleaning Machine</t>
        </is>
      </c>
      <c r="E4" s="4" t="n">
        <v>44783</v>
      </c>
      <c r="F4" s="6" t="n">
        <v>23729</v>
      </c>
      <c r="G4" s="7" t="n">
        <v>0.18</v>
      </c>
      <c r="H4" s="6">
        <f>F4*G4</f>
        <v/>
      </c>
      <c r="I4" s="6">
        <f>F4+H4</f>
        <v/>
      </c>
      <c r="J4" s="5" t="inlineStr">
        <is>
          <t>Active</t>
        </is>
      </c>
      <c r="K4" s="5" t="inlineStr">
        <is>
          <t>Team A</t>
        </is>
      </c>
      <c r="L4" s="5" t="n"/>
    </row>
    <row r="5">
      <c r="A5" s="3" t="inlineStr">
        <is>
          <t>M004</t>
        </is>
      </c>
      <c r="B5" s="3" t="inlineStr">
        <is>
          <t>Pest Control Sprayer</t>
        </is>
      </c>
      <c r="C5" s="3" t="inlineStr">
        <is>
          <t>Solo 475</t>
        </is>
      </c>
      <c r="D5" s="3" t="inlineStr">
        <is>
          <t>Spray Equipment</t>
        </is>
      </c>
      <c r="E5" s="8" t="n">
        <v>44931</v>
      </c>
      <c r="F5" s="9" t="n">
        <v>12712</v>
      </c>
      <c r="G5" s="10" t="n">
        <v>0.18</v>
      </c>
      <c r="H5" s="9">
        <f>F5*G5</f>
        <v/>
      </c>
      <c r="I5" s="9">
        <f>F5+H5</f>
        <v/>
      </c>
      <c r="J5" s="3" t="inlineStr">
        <is>
          <t>Active</t>
        </is>
      </c>
      <c r="K5" s="3" t="inlineStr">
        <is>
          <t>Pest Team</t>
        </is>
      </c>
      <c r="L5" s="3" t="n"/>
    </row>
    <row r="6">
      <c r="A6" s="5" t="inlineStr">
        <is>
          <t>M005</t>
        </is>
      </c>
      <c r="B6" s="5" t="inlineStr">
        <is>
          <t>Paint Sprayer</t>
        </is>
      </c>
      <c r="C6" s="5" t="inlineStr">
        <is>
          <t>Graco Magnum X5</t>
        </is>
      </c>
      <c r="D6" s="5" t="inlineStr">
        <is>
          <t>Spray Equipment</t>
        </is>
      </c>
      <c r="E6" s="4" t="n">
        <v>45119</v>
      </c>
      <c r="F6" s="6" t="n">
        <v>55085</v>
      </c>
      <c r="G6" s="7" t="n">
        <v>0.18</v>
      </c>
      <c r="H6" s="6">
        <f>F6*G6</f>
        <v/>
      </c>
      <c r="I6" s="6">
        <f>F6+H6</f>
        <v/>
      </c>
      <c r="J6" s="5" t="inlineStr">
        <is>
          <t>Under Repair</t>
        </is>
      </c>
      <c r="K6" s="5" t="inlineStr">
        <is>
          <t>Painting Team</t>
        </is>
      </c>
      <c r="L6" s="5" t="n"/>
    </row>
    <row r="7">
      <c r="A7" s="3" t="inlineStr">
        <is>
          <t>M006</t>
        </is>
      </c>
      <c r="B7" s="3" t="inlineStr">
        <is>
          <t>Drill Machine</t>
        </is>
      </c>
      <c r="C7" s="3" t="inlineStr">
        <is>
          <t>Bosch GSB 600</t>
        </is>
      </c>
      <c r="D7" s="3" t="inlineStr">
        <is>
          <t>Power Tools</t>
        </is>
      </c>
      <c r="E7" s="8" t="n">
        <v>44669</v>
      </c>
      <c r="F7" s="9" t="n">
        <v>7203</v>
      </c>
      <c r="G7" s="10" t="n">
        <v>0.18</v>
      </c>
      <c r="H7" s="9">
        <f>F7*G7</f>
        <v/>
      </c>
      <c r="I7" s="9">
        <f>F7+H7</f>
        <v/>
      </c>
      <c r="J7" s="3" t="inlineStr">
        <is>
          <t>Active</t>
        </is>
      </c>
      <c r="K7" s="3" t="inlineStr">
        <is>
          <t>General</t>
        </is>
      </c>
      <c r="L7" s="3" t="n"/>
    </row>
    <row r="8">
      <c r="A8" s="5" t="inlineStr">
        <is>
          <t>M007</t>
        </is>
      </c>
      <c r="B8" s="5" t="inlineStr">
        <is>
          <t>Angle Grinder</t>
        </is>
      </c>
      <c r="C8" s="5" t="inlineStr">
        <is>
          <t>Makita GA4030</t>
        </is>
      </c>
      <c r="D8" s="5" t="inlineStr">
        <is>
          <t>Power Tools</t>
        </is>
      </c>
      <c r="E8" s="4" t="n">
        <v>44979</v>
      </c>
      <c r="F8" s="6" t="n">
        <v>5508</v>
      </c>
      <c r="G8" s="7" t="n">
        <v>0.18</v>
      </c>
      <c r="H8" s="6">
        <f>F8*G8</f>
        <v/>
      </c>
      <c r="I8" s="6">
        <f>F8+H8</f>
        <v/>
      </c>
      <c r="J8" s="5" t="inlineStr">
        <is>
          <t>Active</t>
        </is>
      </c>
      <c r="K8" s="5" t="inlineStr">
        <is>
          <t>General</t>
        </is>
      </c>
      <c r="L8" s="5" t="n"/>
    </row>
    <row r="9">
      <c r="A9" s="3" t="inlineStr">
        <is>
          <t>M008</t>
        </is>
      </c>
      <c r="B9" s="3" t="inlineStr">
        <is>
          <t>Ladder (12ft)</t>
        </is>
      </c>
      <c r="C9" s="3" t="inlineStr">
        <is>
          <t>Aluminium</t>
        </is>
      </c>
      <c r="D9" s="3" t="inlineStr">
        <is>
          <t>Safety Equipment</t>
        </is>
      </c>
      <c r="E9" s="8" t="n">
        <v>44571</v>
      </c>
      <c r="F9" s="9" t="n">
        <v>10169</v>
      </c>
      <c r="G9" s="10" t="n">
        <v>0.18</v>
      </c>
      <c r="H9" s="9">
        <f>F9*G9</f>
        <v/>
      </c>
      <c r="I9" s="9">
        <f>F9+H9</f>
        <v/>
      </c>
      <c r="J9" s="3" t="inlineStr">
        <is>
          <t>Active</t>
        </is>
      </c>
      <c r="K9" s="3" t="inlineStr">
        <is>
          <t>Warehouse</t>
        </is>
      </c>
      <c r="L9" s="3" t="n"/>
    </row>
    <row r="10">
      <c r="A10" s="5" t="inlineStr">
        <is>
          <t>M009</t>
        </is>
      </c>
      <c r="B10" s="5" t="inlineStr">
        <is>
          <t>Steam Cleaner</t>
        </is>
      </c>
      <c r="C10" s="5" t="inlineStr">
        <is>
          <t>Karcher SC3</t>
        </is>
      </c>
      <c r="D10" s="5" t="inlineStr">
        <is>
          <t>Cleaning Machine</t>
        </is>
      </c>
      <c r="E10" s="4" t="n">
        <v>45299</v>
      </c>
      <c r="F10" s="6" t="n">
        <v>29661</v>
      </c>
      <c r="G10" s="7" t="n">
        <v>0.18</v>
      </c>
      <c r="H10" s="6">
        <f>F10*G10</f>
        <v/>
      </c>
      <c r="I10" s="6">
        <f>F10+H10</f>
        <v/>
      </c>
      <c r="J10" s="5" t="inlineStr">
        <is>
          <t>Active</t>
        </is>
      </c>
      <c r="K10" s="5" t="inlineStr">
        <is>
          <t>Team C</t>
        </is>
      </c>
      <c r="L10" s="5" t="n"/>
    </row>
    <row r="11">
      <c r="A11" s="3" t="inlineStr">
        <is>
          <t>M010</t>
        </is>
      </c>
      <c r="B11" s="3" t="inlineStr">
        <is>
          <t>Industrial Blower</t>
        </is>
      </c>
      <c r="C11" s="3" t="inlineStr">
        <is>
          <t>Dewalt DCE100</t>
        </is>
      </c>
      <c r="D11" s="3" t="inlineStr">
        <is>
          <t>Cleaning Machine</t>
        </is>
      </c>
      <c r="E11" s="8" t="n">
        <v>45235</v>
      </c>
      <c r="F11" s="9" t="n">
        <v>15254</v>
      </c>
      <c r="G11" s="10" t="n">
        <v>0.18</v>
      </c>
      <c r="H11" s="9">
        <f>F11*G11</f>
        <v/>
      </c>
      <c r="I11" s="9">
        <f>F11+H11</f>
        <v/>
      </c>
      <c r="J11" s="3" t="inlineStr">
        <is>
          <t>Retired</t>
        </is>
      </c>
      <c r="K11" s="3" t="inlineStr">
        <is>
          <t>Storage</t>
        </is>
      </c>
      <c r="L11" s="3" t="n"/>
    </row>
  </sheetData>
  <dataValidations count="3">
    <dataValidation sqref="D2:D1000" showDropDown="0" showInputMessage="0" showErrorMessage="0" allowBlank="1" type="list">
      <formula1>"Cleaning Machine,Spray Equipment,Power Tools,Safety Equipment"</formula1>
    </dataValidation>
    <dataValidation sqref="J2:J1000" showDropDown="0" showInputMessage="0" showErrorMessage="0" allowBlank="1" type="list">
      <formula1>"Active,Under Repair,Retired"</formula1>
    </dataValidation>
    <dataValidation sqref="G2:G1000 H2:H1000 I2:I1000 L2:L1000" showDropDown="0" showInputMessage="0" showErrorMessage="0" allowBlank="1" type="list">
      <formula1>"5%,12%,18%"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Date</t>
        </is>
      </c>
      <c r="B1" s="2" t="inlineStr">
        <is>
          <t>Machine ID</t>
        </is>
      </c>
      <c r="C1" s="2" t="inlineStr">
        <is>
          <t>Machine Name</t>
        </is>
      </c>
      <c r="D1" s="2" t="inlineStr">
        <is>
          <t>Maintenance Type</t>
        </is>
      </c>
      <c r="E1" s="2" t="inlineStr">
        <is>
          <t>Description</t>
        </is>
      </c>
      <c r="F1" s="2" t="inlineStr">
        <is>
          <t>Base Cost (₹)</t>
        </is>
      </c>
      <c r="G1" s="2" t="inlineStr">
        <is>
          <t>GST %</t>
        </is>
      </c>
      <c r="H1" s="2" t="inlineStr">
        <is>
          <t>GST Amount (₹)</t>
        </is>
      </c>
      <c r="I1" s="2" t="inlineStr">
        <is>
          <t>Total Cost (₹)</t>
        </is>
      </c>
      <c r="J1" s="2" t="inlineStr">
        <is>
          <t>Done By</t>
        </is>
      </c>
      <c r="K1" s="2" t="inlineStr">
        <is>
          <t>Next Service Due</t>
        </is>
      </c>
      <c r="L1" s="2" t="inlineStr">
        <is>
          <t>Notes</t>
        </is>
      </c>
    </row>
    <row r="2">
      <c r="A2" s="4" t="n">
        <v>45332</v>
      </c>
      <c r="B2" s="5" t="inlineStr">
        <is>
          <t>M001</t>
        </is>
      </c>
      <c r="C2" s="5" t="inlineStr">
        <is>
          <t>Floor Scrubber</t>
        </is>
      </c>
      <c r="D2" s="5" t="inlineStr">
        <is>
          <t>Service</t>
        </is>
      </c>
      <c r="E2" s="5" t="inlineStr">
        <is>
          <t>Regular servicing</t>
        </is>
      </c>
      <c r="F2" s="6" t="n">
        <v>2119</v>
      </c>
      <c r="G2" s="7" t="n">
        <v>0.18</v>
      </c>
      <c r="H2" s="6">
        <f>F2*G2</f>
        <v/>
      </c>
      <c r="I2" s="6">
        <f>F2+H2</f>
        <v/>
      </c>
      <c r="J2" s="5" t="inlineStr">
        <is>
          <t>Karcher Service</t>
        </is>
      </c>
      <c r="K2" s="4" t="n">
        <v>45514</v>
      </c>
      <c r="L2" s="5" t="n"/>
    </row>
    <row r="3">
      <c r="A3" s="8" t="n">
        <v>45366</v>
      </c>
      <c r="B3" s="3" t="inlineStr">
        <is>
          <t>M002</t>
        </is>
      </c>
      <c r="C3" s="3" t="inlineStr">
        <is>
          <t>Pressure Washer</t>
        </is>
      </c>
      <c r="D3" s="3" t="inlineStr">
        <is>
          <t>Parts Replacement</t>
        </is>
      </c>
      <c r="E3" s="3" t="inlineStr">
        <is>
          <t>Nozzle replaced</t>
        </is>
      </c>
      <c r="F3" s="9" t="n">
        <v>1017</v>
      </c>
      <c r="G3" s="10" t="n">
        <v>0.18</v>
      </c>
      <c r="H3" s="9">
        <f>F3*G3</f>
        <v/>
      </c>
      <c r="I3" s="9">
        <f>F3+H3</f>
        <v/>
      </c>
      <c r="J3" s="3" t="inlineStr">
        <is>
          <t>Local Mechanic</t>
        </is>
      </c>
      <c r="K3" s="8" t="n">
        <v>45550</v>
      </c>
      <c r="L3" s="3" t="n"/>
    </row>
    <row r="4">
      <c r="A4" s="4" t="n">
        <v>45387</v>
      </c>
      <c r="B4" s="5" t="inlineStr">
        <is>
          <t>M003</t>
        </is>
      </c>
      <c r="C4" s="5" t="inlineStr">
        <is>
          <t>Vacuum Cleaner</t>
        </is>
      </c>
      <c r="D4" s="5" t="inlineStr">
        <is>
          <t>Service</t>
        </is>
      </c>
      <c r="E4" s="5" t="inlineStr">
        <is>
          <t>Filter cleaning</t>
        </is>
      </c>
      <c r="F4" s="6" t="n">
        <v>678</v>
      </c>
      <c r="G4" s="7" t="n">
        <v>0.18</v>
      </c>
      <c r="H4" s="6">
        <f>F4*G4</f>
        <v/>
      </c>
      <c r="I4" s="6">
        <f>F4+H4</f>
        <v/>
      </c>
      <c r="J4" s="5" t="inlineStr">
        <is>
          <t>In-house</t>
        </is>
      </c>
      <c r="K4" s="4" t="n">
        <v>45570</v>
      </c>
      <c r="L4" s="5" t="n"/>
    </row>
    <row r="5">
      <c r="A5" s="8" t="n">
        <v>45432</v>
      </c>
      <c r="B5" s="3" t="inlineStr">
        <is>
          <t>M005</t>
        </is>
      </c>
      <c r="C5" s="3" t="inlineStr">
        <is>
          <t>Paint Sprayer</t>
        </is>
      </c>
      <c r="D5" s="3" t="inlineStr">
        <is>
          <t>Repair</t>
        </is>
      </c>
      <c r="E5" s="3" t="inlineStr">
        <is>
          <t>Motor rewinding</t>
        </is>
      </c>
      <c r="F5" s="9" t="n">
        <v>7203</v>
      </c>
      <c r="G5" s="10" t="n">
        <v>0.18</v>
      </c>
      <c r="H5" s="9">
        <f>F5*G5</f>
        <v/>
      </c>
      <c r="I5" s="9">
        <f>F5+H5</f>
        <v/>
      </c>
      <c r="J5" s="3" t="inlineStr">
        <is>
          <t>Graco Service</t>
        </is>
      </c>
      <c r="K5" s="8" t="n">
        <v>45616</v>
      </c>
      <c r="L5" s="3" t="n"/>
    </row>
    <row r="6">
      <c r="A6" s="4" t="n">
        <v>45451</v>
      </c>
      <c r="B6" s="5" t="inlineStr">
        <is>
          <t>M004</t>
        </is>
      </c>
      <c r="C6" s="5" t="inlineStr">
        <is>
          <t>Pest Control Sprayer</t>
        </is>
      </c>
      <c r="D6" s="5" t="inlineStr">
        <is>
          <t>Service</t>
        </is>
      </c>
      <c r="E6" s="5" t="inlineStr">
        <is>
          <t>Valve check</t>
        </is>
      </c>
      <c r="F6" s="6" t="n">
        <v>424</v>
      </c>
      <c r="G6" s="7" t="n">
        <v>0.18</v>
      </c>
      <c r="H6" s="6">
        <f>F6*G6</f>
        <v/>
      </c>
      <c r="I6" s="6">
        <f>F6+H6</f>
        <v/>
      </c>
      <c r="J6" s="5" t="inlineStr">
        <is>
          <t>In-house</t>
        </is>
      </c>
      <c r="K6" s="4" t="n">
        <v>45634</v>
      </c>
      <c r="L6" s="5" t="n"/>
    </row>
    <row r="7">
      <c r="A7" s="8" t="n">
        <v>45485</v>
      </c>
      <c r="B7" s="3" t="inlineStr">
        <is>
          <t>M006</t>
        </is>
      </c>
      <c r="C7" s="3" t="inlineStr">
        <is>
          <t>Drill Machine</t>
        </is>
      </c>
      <c r="D7" s="3" t="inlineStr">
        <is>
          <t>Parts Replacement</t>
        </is>
      </c>
      <c r="E7" s="3" t="inlineStr">
        <is>
          <t>Chuck replaced</t>
        </is>
      </c>
      <c r="F7" s="9" t="n">
        <v>1271</v>
      </c>
      <c r="G7" s="10" t="n">
        <v>0.18</v>
      </c>
      <c r="H7" s="9">
        <f>F7*G7</f>
        <v/>
      </c>
      <c r="I7" s="9">
        <f>F7+H7</f>
        <v/>
      </c>
      <c r="J7" s="3" t="inlineStr">
        <is>
          <t>Bosch Service</t>
        </is>
      </c>
      <c r="K7" s="8" t="n">
        <v>45669</v>
      </c>
      <c r="L7" s="3" t="n"/>
    </row>
    <row r="8">
      <c r="A8" s="4" t="n">
        <v>45505</v>
      </c>
      <c r="B8" s="5" t="inlineStr">
        <is>
          <t>M001</t>
        </is>
      </c>
      <c r="C8" s="5" t="inlineStr">
        <is>
          <t>Floor Scrubber</t>
        </is>
      </c>
      <c r="D8" s="5" t="inlineStr">
        <is>
          <t>Service</t>
        </is>
      </c>
      <c r="E8" s="5" t="inlineStr">
        <is>
          <t>Brush replacement</t>
        </is>
      </c>
      <c r="F8" s="6" t="n">
        <v>3814</v>
      </c>
      <c r="G8" s="7" t="n">
        <v>0.18</v>
      </c>
      <c r="H8" s="6">
        <f>F8*G8</f>
        <v/>
      </c>
      <c r="I8" s="6">
        <f>F8+H8</f>
        <v/>
      </c>
      <c r="J8" s="5" t="inlineStr">
        <is>
          <t>Karcher Service</t>
        </is>
      </c>
      <c r="K8" s="4" t="n">
        <v>45689</v>
      </c>
      <c r="L8" s="5" t="n"/>
    </row>
    <row r="9">
      <c r="A9" s="8" t="n">
        <v>45522</v>
      </c>
      <c r="B9" s="3" t="inlineStr">
        <is>
          <t>M007</t>
        </is>
      </c>
      <c r="C9" s="3" t="inlineStr">
        <is>
          <t>Angle Grinder</t>
        </is>
      </c>
      <c r="D9" s="3" t="inlineStr">
        <is>
          <t>Repair</t>
        </is>
      </c>
      <c r="E9" s="3" t="inlineStr">
        <is>
          <t>Switch repair</t>
        </is>
      </c>
      <c r="F9" s="9" t="n">
        <v>508</v>
      </c>
      <c r="G9" s="10" t="n">
        <v>0.18</v>
      </c>
      <c r="H9" s="9">
        <f>F9*G9</f>
        <v/>
      </c>
      <c r="I9" s="9">
        <f>F9+H9</f>
        <v/>
      </c>
      <c r="J9" s="3" t="inlineStr">
        <is>
          <t>Local Mechanic</t>
        </is>
      </c>
      <c r="K9" s="8" t="n">
        <v>45706</v>
      </c>
      <c r="L9" s="3" t="n"/>
    </row>
    <row r="10">
      <c r="A10" s="4" t="n">
        <v>45540</v>
      </c>
      <c r="B10" s="5" t="inlineStr">
        <is>
          <t>M009</t>
        </is>
      </c>
      <c r="C10" s="5" t="inlineStr">
        <is>
          <t>Steam Cleaner</t>
        </is>
      </c>
      <c r="D10" s="5" t="inlineStr">
        <is>
          <t>Service</t>
        </is>
      </c>
      <c r="E10" s="5" t="inlineStr">
        <is>
          <t>Descaling</t>
        </is>
      </c>
      <c r="F10" s="6" t="n">
        <v>1017</v>
      </c>
      <c r="G10" s="7" t="n">
        <v>0.18</v>
      </c>
      <c r="H10" s="6">
        <f>F10*G10</f>
        <v/>
      </c>
      <c r="I10" s="6">
        <f>F10+H10</f>
        <v/>
      </c>
      <c r="J10" s="5" t="inlineStr">
        <is>
          <t>Karcher Service</t>
        </is>
      </c>
      <c r="K10" s="4" t="n">
        <v>45721</v>
      </c>
      <c r="L10" s="5" t="n"/>
    </row>
    <row r="11">
      <c r="A11" s="8" t="n">
        <v>45575</v>
      </c>
      <c r="B11" s="3" t="inlineStr">
        <is>
          <t>M002</t>
        </is>
      </c>
      <c r="C11" s="3" t="inlineStr">
        <is>
          <t>Pressure Washer</t>
        </is>
      </c>
      <c r="D11" s="3" t="inlineStr">
        <is>
          <t>Service</t>
        </is>
      </c>
      <c r="E11" s="3" t="inlineStr">
        <is>
          <t>Regular maintenance</t>
        </is>
      </c>
      <c r="F11" s="9" t="n">
        <v>1525</v>
      </c>
      <c r="G11" s="10" t="n">
        <v>0.18</v>
      </c>
      <c r="H11" s="9">
        <f>F11*G11</f>
        <v/>
      </c>
      <c r="I11" s="9">
        <f>F11+H11</f>
        <v/>
      </c>
      <c r="J11" s="3" t="inlineStr">
        <is>
          <t>Bosch Service</t>
        </is>
      </c>
      <c r="K11" s="8" t="n">
        <v>45757</v>
      </c>
      <c r="L11" s="3" t="n"/>
    </row>
  </sheetData>
  <dataValidations count="3">
    <dataValidation sqref="D2:D1000" showDropDown="0" showInputMessage="0" showErrorMessage="0" allowBlank="1" type="list">
      <formula1>"Repair,Service,Parts Replacement"</formula1>
    </dataValidation>
    <dataValidation sqref="B2:B1000" showDropDown="0" showInputMessage="0" showErrorMessage="0" allowBlank="1" type="list">
      <formula1>"M001,M002,M003,M004,M005,M006,M007,M008,M009,M010"</formula1>
    </dataValidation>
    <dataValidation sqref="G2:G1000 H2:H1000 I2:I1000 L2:L1000" showDropDown="0" showInputMessage="0" showErrorMessage="0" allowBlank="1" type="list">
      <formula1>"5%,12%,18%"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Item ID</t>
        </is>
      </c>
      <c r="B1" s="2" t="inlineStr">
        <is>
          <t>Chemical Name</t>
        </is>
      </c>
      <c r="C1" s="2" t="inlineStr">
        <is>
          <t>Brand</t>
        </is>
      </c>
      <c r="D1" s="2" t="inlineStr">
        <is>
          <t>Category</t>
        </is>
      </c>
      <c r="E1" s="2" t="inlineStr">
        <is>
          <t>Unit</t>
        </is>
      </c>
      <c r="F1" s="2" t="inlineStr">
        <is>
          <t>Opening Stock</t>
        </is>
      </c>
      <c r="G1" s="2" t="inlineStr">
        <is>
          <t>Stock Added</t>
        </is>
      </c>
      <c r="H1" s="2" t="inlineStr">
        <is>
          <t>Stock Used</t>
        </is>
      </c>
      <c r="I1" s="2" t="inlineStr">
        <is>
          <t>Closing Stock</t>
        </is>
      </c>
      <c r="J1" s="2" t="inlineStr">
        <is>
          <t>Min Level</t>
        </is>
      </c>
      <c r="K1" s="2" t="inlineStr">
        <is>
          <t>Status</t>
        </is>
      </c>
      <c r="L1" s="2" t="inlineStr">
        <is>
          <t>Last Updated</t>
        </is>
      </c>
    </row>
    <row r="2">
      <c r="A2" s="5" t="inlineStr">
        <is>
          <t>CH001</t>
        </is>
      </c>
      <c r="B2" s="5" t="inlineStr">
        <is>
          <t>Floor Cleaner</t>
        </is>
      </c>
      <c r="C2" s="5" t="inlineStr">
        <is>
          <t>Lizol</t>
        </is>
      </c>
      <c r="D2" s="5" t="inlineStr">
        <is>
          <t>Cleaning Agents</t>
        </is>
      </c>
      <c r="E2" s="5" t="inlineStr">
        <is>
          <t>Liters</t>
        </is>
      </c>
      <c r="F2" s="5" t="n">
        <v>50</v>
      </c>
      <c r="G2" s="5" t="n">
        <v>100</v>
      </c>
      <c r="H2" s="5" t="n">
        <v>80</v>
      </c>
      <c r="I2" s="5">
        <f>F2+G2-H2</f>
        <v/>
      </c>
      <c r="J2" s="5" t="n">
        <v>20</v>
      </c>
      <c r="K2" s="5">
        <f>IF(I2&lt;J2,"Low Stock","OK")</f>
        <v/>
      </c>
      <c r="L2" s="4" t="n">
        <v>45682</v>
      </c>
    </row>
    <row r="3">
      <c r="A3" s="3" t="inlineStr">
        <is>
          <t>CH002</t>
        </is>
      </c>
      <c r="B3" s="3" t="inlineStr">
        <is>
          <t>Glass Cleaner</t>
        </is>
      </c>
      <c r="C3" s="3" t="inlineStr">
        <is>
          <t>Colin</t>
        </is>
      </c>
      <c r="D3" s="3" t="inlineStr">
        <is>
          <t>Cleaning Agents</t>
        </is>
      </c>
      <c r="E3" s="3" t="inlineStr">
        <is>
          <t>Liters</t>
        </is>
      </c>
      <c r="F3" s="3" t="n">
        <v>30</v>
      </c>
      <c r="G3" s="3" t="n">
        <v>50</v>
      </c>
      <c r="H3" s="3" t="n">
        <v>45</v>
      </c>
      <c r="I3" s="3">
        <f>F3+G3-H3</f>
        <v/>
      </c>
      <c r="J3" s="3" t="n">
        <v>15</v>
      </c>
      <c r="K3" s="3">
        <f>IF(I3&lt;J3,"Low Stock","OK")</f>
        <v/>
      </c>
      <c r="L3" s="8" t="n">
        <v>45682</v>
      </c>
    </row>
    <row r="4">
      <c r="A4" s="5" t="inlineStr">
        <is>
          <t>CH003</t>
        </is>
      </c>
      <c r="B4" s="5" t="inlineStr">
        <is>
          <t>Toilet Cleaner</t>
        </is>
      </c>
      <c r="C4" s="5" t="inlineStr">
        <is>
          <t>Harpic</t>
        </is>
      </c>
      <c r="D4" s="5" t="inlineStr">
        <is>
          <t>Cleaning Agents</t>
        </is>
      </c>
      <c r="E4" s="5" t="inlineStr">
        <is>
          <t>Liters</t>
        </is>
      </c>
      <c r="F4" s="5" t="n">
        <v>40</v>
      </c>
      <c r="G4" s="5" t="n">
        <v>80</v>
      </c>
      <c r="H4" s="5" t="n">
        <v>70</v>
      </c>
      <c r="I4" s="5">
        <f>F4+G4-H4</f>
        <v/>
      </c>
      <c r="J4" s="5" t="n">
        <v>20</v>
      </c>
      <c r="K4" s="5">
        <f>IF(I4&lt;J4,"Low Stock","OK")</f>
        <v/>
      </c>
      <c r="L4" s="4" t="n">
        <v>45682</v>
      </c>
    </row>
    <row r="5">
      <c r="A5" s="3" t="inlineStr">
        <is>
          <t>CH004</t>
        </is>
      </c>
      <c r="B5" s="3" t="inlineStr">
        <is>
          <t>Pesticide Spray</t>
        </is>
      </c>
      <c r="C5" s="3" t="inlineStr">
        <is>
          <t>Baygon Pro</t>
        </is>
      </c>
      <c r="D5" s="3" t="inlineStr">
        <is>
          <t>Pest Control</t>
        </is>
      </c>
      <c r="E5" s="3" t="inlineStr">
        <is>
          <t>Cans</t>
        </is>
      </c>
      <c r="F5" s="3" t="n">
        <v>25</v>
      </c>
      <c r="G5" s="3" t="n">
        <v>50</v>
      </c>
      <c r="H5" s="3" t="n">
        <v>55</v>
      </c>
      <c r="I5" s="3">
        <f>F5+G5-H5</f>
        <v/>
      </c>
      <c r="J5" s="3" t="n">
        <v>10</v>
      </c>
      <c r="K5" s="3">
        <f>IF(I5&lt;J5,"Low Stock","OK")</f>
        <v/>
      </c>
      <c r="L5" s="8" t="n">
        <v>45682</v>
      </c>
    </row>
    <row r="6">
      <c r="A6" s="5" t="inlineStr">
        <is>
          <t>CH005</t>
        </is>
      </c>
      <c r="B6" s="5" t="inlineStr">
        <is>
          <t>Termite Solution</t>
        </is>
      </c>
      <c r="C6" s="5" t="inlineStr">
        <is>
          <t>Premise</t>
        </is>
      </c>
      <c r="D6" s="5" t="inlineStr">
        <is>
          <t>Pest Control</t>
        </is>
      </c>
      <c r="E6" s="5" t="inlineStr">
        <is>
          <t>Liters</t>
        </is>
      </c>
      <c r="F6" s="5" t="n">
        <v>20</v>
      </c>
      <c r="G6" s="5" t="n">
        <v>40</v>
      </c>
      <c r="H6" s="5" t="n">
        <v>35</v>
      </c>
      <c r="I6" s="5">
        <f>F6+G6-H6</f>
        <v/>
      </c>
      <c r="J6" s="5" t="n">
        <v>10</v>
      </c>
      <c r="K6" s="5">
        <f>IF(I6&lt;J6,"Low Stock","OK")</f>
        <v/>
      </c>
      <c r="L6" s="4" t="n">
        <v>45682</v>
      </c>
    </row>
    <row r="7">
      <c r="A7" s="3" t="inlineStr">
        <is>
          <t>CH006</t>
        </is>
      </c>
      <c r="B7" s="3" t="inlineStr">
        <is>
          <t>Hand Sanitizer</t>
        </is>
      </c>
      <c r="C7" s="3" t="inlineStr">
        <is>
          <t>Dettol</t>
        </is>
      </c>
      <c r="D7" s="3" t="inlineStr">
        <is>
          <t>Sanitizers</t>
        </is>
      </c>
      <c r="E7" s="3" t="inlineStr">
        <is>
          <t>Liters</t>
        </is>
      </c>
      <c r="F7" s="3" t="n">
        <v>15</v>
      </c>
      <c r="G7" s="3" t="n">
        <v>30</v>
      </c>
      <c r="H7" s="3" t="n">
        <v>28</v>
      </c>
      <c r="I7" s="3">
        <f>F7+G7-H7</f>
        <v/>
      </c>
      <c r="J7" s="3" t="n">
        <v>10</v>
      </c>
      <c r="K7" s="3">
        <f>IF(I7&lt;J7,"Low Stock","OK")</f>
        <v/>
      </c>
      <c r="L7" s="8" t="n">
        <v>45682</v>
      </c>
    </row>
    <row r="8">
      <c r="A8" s="5" t="inlineStr">
        <is>
          <t>CH007</t>
        </is>
      </c>
      <c r="B8" s="5" t="inlineStr">
        <is>
          <t>Surface Disinfectant</t>
        </is>
      </c>
      <c r="C8" s="5" t="inlineStr">
        <is>
          <t>Lysol</t>
        </is>
      </c>
      <c r="D8" s="5" t="inlineStr">
        <is>
          <t>Sanitizers</t>
        </is>
      </c>
      <c r="E8" s="5" t="inlineStr">
        <is>
          <t>Liters</t>
        </is>
      </c>
      <c r="F8" s="5" t="n">
        <v>25</v>
      </c>
      <c r="G8" s="5" t="n">
        <v>50</v>
      </c>
      <c r="H8" s="5" t="n">
        <v>40</v>
      </c>
      <c r="I8" s="5">
        <f>F8+G8-H8</f>
        <v/>
      </c>
      <c r="J8" s="5" t="n">
        <v>15</v>
      </c>
      <c r="K8" s="5">
        <f>IF(I8&lt;J8,"Low Stock","OK")</f>
        <v/>
      </c>
      <c r="L8" s="4" t="n">
        <v>45682</v>
      </c>
    </row>
    <row r="9">
      <c r="A9" s="3" t="inlineStr">
        <is>
          <t>CH008</t>
        </is>
      </c>
      <c r="B9" s="3" t="inlineStr">
        <is>
          <t>Degreaser</t>
        </is>
      </c>
      <c r="C9" s="3" t="inlineStr">
        <is>
          <t>WD-40</t>
        </is>
      </c>
      <c r="D9" s="3" t="inlineStr">
        <is>
          <t>Specialty</t>
        </is>
      </c>
      <c r="E9" s="3" t="inlineStr">
        <is>
          <t>Cans</t>
        </is>
      </c>
      <c r="F9" s="3" t="n">
        <v>10</v>
      </c>
      <c r="G9" s="3" t="n">
        <v>20</v>
      </c>
      <c r="H9" s="3" t="n">
        <v>18</v>
      </c>
      <c r="I9" s="3">
        <f>F9+G9-H9</f>
        <v/>
      </c>
      <c r="J9" s="3" t="n">
        <v>5</v>
      </c>
      <c r="K9" s="3">
        <f>IF(I9&lt;J9,"Low Stock","OK")</f>
        <v/>
      </c>
      <c r="L9" s="8" t="n">
        <v>45682</v>
      </c>
    </row>
    <row r="10">
      <c r="A10" s="5" t="inlineStr">
        <is>
          <t>CH009</t>
        </is>
      </c>
      <c r="B10" s="5" t="inlineStr">
        <is>
          <t>Stain Remover</t>
        </is>
      </c>
      <c r="C10" s="5" t="inlineStr">
        <is>
          <t>Vanish</t>
        </is>
      </c>
      <c r="D10" s="5" t="inlineStr">
        <is>
          <t>Specialty</t>
        </is>
      </c>
      <c r="E10" s="5" t="inlineStr">
        <is>
          <t>KG</t>
        </is>
      </c>
      <c r="F10" s="5" t="n">
        <v>8</v>
      </c>
      <c r="G10" s="5" t="n">
        <v>15</v>
      </c>
      <c r="H10" s="5" t="n">
        <v>12</v>
      </c>
      <c r="I10" s="5">
        <f>F10+G10-H10</f>
        <v/>
      </c>
      <c r="J10" s="5" t="n">
        <v>5</v>
      </c>
      <c r="K10" s="5">
        <f>IF(I10&lt;J10,"Low Stock","OK")</f>
        <v/>
      </c>
      <c r="L10" s="4" t="n">
        <v>45682</v>
      </c>
    </row>
    <row r="11">
      <c r="A11" s="3" t="inlineStr">
        <is>
          <t>CH010</t>
        </is>
      </c>
      <c r="B11" s="3" t="inlineStr">
        <is>
          <t>Air Freshener</t>
        </is>
      </c>
      <c r="C11" s="3" t="inlineStr">
        <is>
          <t>Odonil</t>
        </is>
      </c>
      <c r="D11" s="3" t="inlineStr">
        <is>
          <t>Specialty</t>
        </is>
      </c>
      <c r="E11" s="3" t="inlineStr">
        <is>
          <t>Cans</t>
        </is>
      </c>
      <c r="F11" s="3" t="n">
        <v>30</v>
      </c>
      <c r="G11" s="3" t="n">
        <v>60</v>
      </c>
      <c r="H11" s="3" t="n">
        <v>65</v>
      </c>
      <c r="I11" s="3">
        <f>F11+G11-H11</f>
        <v/>
      </c>
      <c r="J11" s="3" t="n">
        <v>15</v>
      </c>
      <c r="K11" s="3">
        <f>IF(I11&lt;J11,"Low Stock","OK")</f>
        <v/>
      </c>
      <c r="L11" s="8" t="n">
        <v>45682</v>
      </c>
    </row>
    <row r="12">
      <c r="A12" s="5" t="inlineStr">
        <is>
          <t>CH011</t>
        </is>
      </c>
      <c r="B12" s="5" t="inlineStr">
        <is>
          <t>Cockroach Gel</t>
        </is>
      </c>
      <c r="C12" s="5" t="inlineStr">
        <is>
          <t>Advion</t>
        </is>
      </c>
      <c r="D12" s="5" t="inlineStr">
        <is>
          <t>Pest Control</t>
        </is>
      </c>
      <c r="E12" s="5" t="inlineStr">
        <is>
          <t>Bottles</t>
        </is>
      </c>
      <c r="F12" s="5" t="n">
        <v>20</v>
      </c>
      <c r="G12" s="5" t="n">
        <v>30</v>
      </c>
      <c r="H12" s="5" t="n">
        <v>25</v>
      </c>
      <c r="I12" s="5">
        <f>F12+G12-H12</f>
        <v/>
      </c>
      <c r="J12" s="5" t="n">
        <v>10</v>
      </c>
      <c r="K12" s="5">
        <f>IF(I12&lt;J12,"Low Stock","OK")</f>
        <v/>
      </c>
      <c r="L12" s="4" t="n">
        <v>45682</v>
      </c>
    </row>
    <row r="13">
      <c r="A13" s="3" t="inlineStr">
        <is>
          <t>CH012</t>
        </is>
      </c>
      <c r="B13" s="3" t="inlineStr">
        <is>
          <t>Fabric Softener</t>
        </is>
      </c>
      <c r="C13" s="3" t="inlineStr">
        <is>
          <t>Comfort</t>
        </is>
      </c>
      <c r="D13" s="3" t="inlineStr">
        <is>
          <t>Cleaning Agents</t>
        </is>
      </c>
      <c r="E13" s="3" t="inlineStr">
        <is>
          <t>Liters</t>
        </is>
      </c>
      <c r="F13" s="3" t="n">
        <v>15</v>
      </c>
      <c r="G13" s="3" t="n">
        <v>25</v>
      </c>
      <c r="H13" s="3" t="n">
        <v>22</v>
      </c>
      <c r="I13" s="3">
        <f>F13+G13-H13</f>
        <v/>
      </c>
      <c r="J13" s="3" t="n">
        <v>10</v>
      </c>
      <c r="K13" s="3">
        <f>IF(I13&lt;J13,"Low Stock","OK")</f>
        <v/>
      </c>
      <c r="L13" s="8" t="n">
        <v>45682</v>
      </c>
    </row>
  </sheetData>
  <conditionalFormatting sqref="K2:K1000">
    <cfRule type="expression" priority="1" dxfId="0">
      <formula>K2="Low Stock"</formula>
    </cfRule>
    <cfRule type="expression" priority="2" dxfId="1">
      <formula>K2="OK"</formula>
    </cfRule>
  </conditionalFormatting>
  <dataValidations count="2">
    <dataValidation sqref="D2:D1000" showDropDown="0" showInputMessage="0" showErrorMessage="0" allowBlank="1" type="list">
      <formula1>"Cleaning Agents,Pest Control,Sanitizers,Specialty"</formula1>
    </dataValidation>
    <dataValidation sqref="E2:E1000" showDropDown="0" showInputMessage="0" showErrorMessage="0" allowBlank="1" type="list">
      <formula1>"Liters,KG,Bottles,Cans"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Item ID</t>
        </is>
      </c>
      <c r="B1" s="2" t="inlineStr">
        <is>
          <t>Item Name</t>
        </is>
      </c>
      <c r="C1" s="2" t="inlineStr">
        <is>
          <t>Category</t>
        </is>
      </c>
      <c r="D1" s="2" t="inlineStr">
        <is>
          <t>Unit</t>
        </is>
      </c>
      <c r="E1" s="2" t="inlineStr">
        <is>
          <t>Opening Stock</t>
        </is>
      </c>
      <c r="F1" s="2" t="inlineStr">
        <is>
          <t>Stock Added</t>
        </is>
      </c>
      <c r="G1" s="2" t="inlineStr">
        <is>
          <t>Stock Used</t>
        </is>
      </c>
      <c r="H1" s="2" t="inlineStr">
        <is>
          <t>Closing Stock</t>
        </is>
      </c>
      <c r="I1" s="2" t="inlineStr">
        <is>
          <t>Min Level</t>
        </is>
      </c>
      <c r="J1" s="2" t="inlineStr">
        <is>
          <t>Status</t>
        </is>
      </c>
      <c r="K1" s="2" t="inlineStr">
        <is>
          <t>Last Updated</t>
        </is>
      </c>
    </row>
    <row r="2">
      <c r="A2" s="5" t="inlineStr">
        <is>
          <t>AC001</t>
        </is>
      </c>
      <c r="B2" s="5" t="inlineStr">
        <is>
          <t>Rubber Hose (10m)</t>
        </is>
      </c>
      <c r="C2" s="5" t="inlineStr">
        <is>
          <t>Pipes &amp; Hoses</t>
        </is>
      </c>
      <c r="D2" s="5" t="inlineStr">
        <is>
          <t>Pieces</t>
        </is>
      </c>
      <c r="E2" s="5" t="n">
        <v>10</v>
      </c>
      <c r="F2" s="5" t="n">
        <v>15</v>
      </c>
      <c r="G2" s="5" t="n">
        <v>12</v>
      </c>
      <c r="H2" s="5">
        <f>E2+F2-G2</f>
        <v/>
      </c>
      <c r="I2" s="5" t="n">
        <v>5</v>
      </c>
      <c r="J2" s="5">
        <f>IF(H2&lt;I2,"Low Stock","OK")</f>
        <v/>
      </c>
      <c r="K2" s="4" t="n">
        <v>45682</v>
      </c>
    </row>
    <row r="3">
      <c r="A3" s="3" t="inlineStr">
        <is>
          <t>AC002</t>
        </is>
      </c>
      <c r="B3" s="3" t="inlineStr">
        <is>
          <t>Floor Mop</t>
        </is>
      </c>
      <c r="C3" s="3" t="inlineStr">
        <is>
          <t>Brushes &amp; Mops</t>
        </is>
      </c>
      <c r="D3" s="3" t="inlineStr">
        <is>
          <t>Pieces</t>
        </is>
      </c>
      <c r="E3" s="3" t="n">
        <v>20</v>
      </c>
      <c r="F3" s="3" t="n">
        <v>30</v>
      </c>
      <c r="G3" s="3" t="n">
        <v>28</v>
      </c>
      <c r="H3" s="3">
        <f>E3+F3-G3</f>
        <v/>
      </c>
      <c r="I3" s="3" t="n">
        <v>10</v>
      </c>
      <c r="J3" s="3">
        <f>IF(H3&lt;I3,"Low Stock","OK")</f>
        <v/>
      </c>
      <c r="K3" s="8" t="n">
        <v>45682</v>
      </c>
    </row>
    <row r="4">
      <c r="A4" s="5" t="inlineStr">
        <is>
          <t>AC003</t>
        </is>
      </c>
      <c r="B4" s="5" t="inlineStr">
        <is>
          <t>Scrub Brush</t>
        </is>
      </c>
      <c r="C4" s="5" t="inlineStr">
        <is>
          <t>Brushes &amp; Mops</t>
        </is>
      </c>
      <c r="D4" s="5" t="inlineStr">
        <is>
          <t>Pieces</t>
        </is>
      </c>
      <c r="E4" s="5" t="n">
        <v>25</v>
      </c>
      <c r="F4" s="5" t="n">
        <v>40</v>
      </c>
      <c r="G4" s="5" t="n">
        <v>35</v>
      </c>
      <c r="H4" s="5">
        <f>E4+F4-G4</f>
        <v/>
      </c>
      <c r="I4" s="5" t="n">
        <v>10</v>
      </c>
      <c r="J4" s="5">
        <f>IF(H4&lt;I4,"Low Stock","OK")</f>
        <v/>
      </c>
      <c r="K4" s="4" t="n">
        <v>45682</v>
      </c>
    </row>
    <row r="5">
      <c r="A5" s="3" t="inlineStr">
        <is>
          <t>AC004</t>
        </is>
      </c>
      <c r="B5" s="3" t="inlineStr">
        <is>
          <t>Microfiber Cloth</t>
        </is>
      </c>
      <c r="C5" s="3" t="inlineStr">
        <is>
          <t>Cloths &amp; Wipes</t>
        </is>
      </c>
      <c r="D5" s="3" t="inlineStr">
        <is>
          <t>Pieces</t>
        </is>
      </c>
      <c r="E5" s="3" t="n">
        <v>50</v>
      </c>
      <c r="F5" s="3" t="n">
        <v>100</v>
      </c>
      <c r="G5" s="3" t="n">
        <v>90</v>
      </c>
      <c r="H5" s="3">
        <f>E5+F5-G5</f>
        <v/>
      </c>
      <c r="I5" s="3" t="n">
        <v>25</v>
      </c>
      <c r="J5" s="3">
        <f>IF(H5&lt;I5,"Low Stock","OK")</f>
        <v/>
      </c>
      <c r="K5" s="8" t="n">
        <v>45682</v>
      </c>
    </row>
    <row r="6">
      <c r="A6" s="5" t="inlineStr">
        <is>
          <t>AC005</t>
        </is>
      </c>
      <c r="B6" s="5" t="inlineStr">
        <is>
          <t>Rubber Gloves</t>
        </is>
      </c>
      <c r="C6" s="5" t="inlineStr">
        <is>
          <t>Gloves &amp; Safety</t>
        </is>
      </c>
      <c r="D6" s="5" t="inlineStr">
        <is>
          <t>Pairs</t>
        </is>
      </c>
      <c r="E6" s="5" t="n">
        <v>30</v>
      </c>
      <c r="F6" s="5" t="n">
        <v>50</v>
      </c>
      <c r="G6" s="5" t="n">
        <v>48</v>
      </c>
      <c r="H6" s="5">
        <f>E6+F6-G6</f>
        <v/>
      </c>
      <c r="I6" s="5" t="n">
        <v>15</v>
      </c>
      <c r="J6" s="5">
        <f>IF(H6&lt;I6,"Low Stock","OK")</f>
        <v/>
      </c>
      <c r="K6" s="4" t="n">
        <v>45682</v>
      </c>
    </row>
    <row r="7">
      <c r="A7" s="3" t="inlineStr">
        <is>
          <t>AC006</t>
        </is>
      </c>
      <c r="B7" s="3" t="inlineStr">
        <is>
          <t>Safety Goggles</t>
        </is>
      </c>
      <c r="C7" s="3" t="inlineStr">
        <is>
          <t>Gloves &amp; Safety</t>
        </is>
      </c>
      <c r="D7" s="3" t="inlineStr">
        <is>
          <t>Pieces</t>
        </is>
      </c>
      <c r="E7" s="3" t="n">
        <v>10</v>
      </c>
      <c r="F7" s="3" t="n">
        <v>15</v>
      </c>
      <c r="G7" s="3" t="n">
        <v>8</v>
      </c>
      <c r="H7" s="3">
        <f>E7+F7-G7</f>
        <v/>
      </c>
      <c r="I7" s="3" t="n">
        <v>5</v>
      </c>
      <c r="J7" s="3">
        <f>IF(H7&lt;I7,"Low Stock","OK")</f>
        <v/>
      </c>
      <c r="K7" s="8" t="n">
        <v>45682</v>
      </c>
    </row>
    <row r="8">
      <c r="A8" s="5" t="inlineStr">
        <is>
          <t>AC007</t>
        </is>
      </c>
      <c r="B8" s="5" t="inlineStr">
        <is>
          <t>Spray Bottles</t>
        </is>
      </c>
      <c r="C8" s="5" t="inlineStr">
        <is>
          <t>Other</t>
        </is>
      </c>
      <c r="D8" s="5" t="inlineStr">
        <is>
          <t>Pieces</t>
        </is>
      </c>
      <c r="E8" s="5" t="n">
        <v>20</v>
      </c>
      <c r="F8" s="5" t="n">
        <v>30</v>
      </c>
      <c r="G8" s="5" t="n">
        <v>22</v>
      </c>
      <c r="H8" s="5">
        <f>E8+F8-G8</f>
        <v/>
      </c>
      <c r="I8" s="5" t="n">
        <v>10</v>
      </c>
      <c r="J8" s="5">
        <f>IF(H8&lt;I8,"Low Stock","OK")</f>
        <v/>
      </c>
      <c r="K8" s="4" t="n">
        <v>45682</v>
      </c>
    </row>
    <row r="9">
      <c r="A9" s="3" t="inlineStr">
        <is>
          <t>AC008</t>
        </is>
      </c>
      <c r="B9" s="3" t="inlineStr">
        <is>
          <t>Dust Pan Set</t>
        </is>
      </c>
      <c r="C9" s="3" t="inlineStr">
        <is>
          <t>Brushes &amp; Mops</t>
        </is>
      </c>
      <c r="D9" s="3" t="inlineStr">
        <is>
          <t>Sets</t>
        </is>
      </c>
      <c r="E9" s="3" t="n">
        <v>15</v>
      </c>
      <c r="F9" s="3" t="n">
        <v>20</v>
      </c>
      <c r="G9" s="3" t="n">
        <v>18</v>
      </c>
      <c r="H9" s="3">
        <f>E9+F9-G9</f>
        <v/>
      </c>
      <c r="I9" s="3" t="n">
        <v>8</v>
      </c>
      <c r="J9" s="3">
        <f>IF(H9&lt;I9,"Low Stock","OK")</f>
        <v/>
      </c>
      <c r="K9" s="8" t="n">
        <v>45682</v>
      </c>
    </row>
    <row r="10">
      <c r="A10" s="5" t="inlineStr">
        <is>
          <t>AC009</t>
        </is>
      </c>
      <c r="B10" s="5" t="inlineStr">
        <is>
          <t>Extension Cord</t>
        </is>
      </c>
      <c r="C10" s="5" t="inlineStr">
        <is>
          <t>Tools</t>
        </is>
      </c>
      <c r="D10" s="5" t="inlineStr">
        <is>
          <t>Pieces</t>
        </is>
      </c>
      <c r="E10" s="5" t="n">
        <v>8</v>
      </c>
      <c r="F10" s="5" t="n">
        <v>10</v>
      </c>
      <c r="G10" s="5" t="n">
        <v>7</v>
      </c>
      <c r="H10" s="5">
        <f>E10+F10-G10</f>
        <v/>
      </c>
      <c r="I10" s="5" t="n">
        <v>4</v>
      </c>
      <c r="J10" s="5">
        <f>IF(H10&lt;I10,"Low Stock","OK")</f>
        <v/>
      </c>
      <c r="K10" s="4" t="n">
        <v>45682</v>
      </c>
    </row>
    <row r="11">
      <c r="A11" s="3" t="inlineStr">
        <is>
          <t>AC010</t>
        </is>
      </c>
      <c r="B11" s="3" t="inlineStr">
        <is>
          <t>Bucket (20L)</t>
        </is>
      </c>
      <c r="C11" s="3" t="inlineStr">
        <is>
          <t>Other</t>
        </is>
      </c>
      <c r="D11" s="3" t="inlineStr">
        <is>
          <t>Pieces</t>
        </is>
      </c>
      <c r="E11" s="3" t="n">
        <v>25</v>
      </c>
      <c r="F11" s="3" t="n">
        <v>30</v>
      </c>
      <c r="G11" s="3" t="n">
        <v>28</v>
      </c>
      <c r="H11" s="3">
        <f>E11+F11-G11</f>
        <v/>
      </c>
      <c r="I11" s="3" t="n">
        <v>10</v>
      </c>
      <c r="J11" s="3">
        <f>IF(H11&lt;I11,"Low Stock","OK")</f>
        <v/>
      </c>
      <c r="K11" s="8" t="n">
        <v>45682</v>
      </c>
    </row>
    <row r="12">
      <c r="A12" s="5" t="inlineStr">
        <is>
          <t>AC011</t>
        </is>
      </c>
      <c r="B12" s="5" t="inlineStr">
        <is>
          <t>Face Masks</t>
        </is>
      </c>
      <c r="C12" s="5" t="inlineStr">
        <is>
          <t>Gloves &amp; Safety</t>
        </is>
      </c>
      <c r="D12" s="5" t="inlineStr">
        <is>
          <t>Boxes</t>
        </is>
      </c>
      <c r="E12" s="5" t="n">
        <v>10</v>
      </c>
      <c r="F12" s="5" t="n">
        <v>20</v>
      </c>
      <c r="G12" s="5" t="n">
        <v>18</v>
      </c>
      <c r="H12" s="5">
        <f>E12+F12-G12</f>
        <v/>
      </c>
      <c r="I12" s="5" t="n">
        <v>5</v>
      </c>
      <c r="J12" s="5">
        <f>IF(H12&lt;I12,"Low Stock","OK")</f>
        <v/>
      </c>
      <c r="K12" s="4" t="n">
        <v>45682</v>
      </c>
    </row>
    <row r="13">
      <c r="A13" s="3" t="inlineStr">
        <is>
          <t>AC012</t>
        </is>
      </c>
      <c r="B13" s="3" t="inlineStr">
        <is>
          <t>Sponge Pack</t>
        </is>
      </c>
      <c r="C13" s="3" t="inlineStr">
        <is>
          <t>Cloths &amp; Wipes</t>
        </is>
      </c>
      <c r="D13" s="3" t="inlineStr">
        <is>
          <t>Packs</t>
        </is>
      </c>
      <c r="E13" s="3" t="n">
        <v>20</v>
      </c>
      <c r="F13" s="3" t="n">
        <v>35</v>
      </c>
      <c r="G13" s="3" t="n">
        <v>30</v>
      </c>
      <c r="H13" s="3">
        <f>E13+F13-G13</f>
        <v/>
      </c>
      <c r="I13" s="3" t="n">
        <v>10</v>
      </c>
      <c r="J13" s="3">
        <f>IF(H13&lt;I13,"Low Stock","OK")</f>
        <v/>
      </c>
      <c r="K13" s="8" t="n">
        <v>45682</v>
      </c>
    </row>
  </sheetData>
  <conditionalFormatting sqref="J2:J1000">
    <cfRule type="expression" priority="1" dxfId="0">
      <formula>J2="Low Stock"</formula>
    </cfRule>
    <cfRule type="expression" priority="2" dxfId="1">
      <formula>J2="OK"</formula>
    </cfRule>
  </conditionalFormatting>
  <dataValidations count="1">
    <dataValidation sqref="C2:C1000" showDropDown="0" showInputMessage="0" showErrorMessage="0" allowBlank="1" type="list">
      <formula1>"Pipes &amp; Hoses,Brushes &amp; Mops,Cloths &amp; Wipes,Gloves &amp; Safety,Tools,Other"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" t="inlineStr">
        <is>
          <t>Date</t>
        </is>
      </c>
      <c r="B1" s="2" t="inlineStr">
        <is>
          <t>Transaction ID</t>
        </is>
      </c>
      <c r="C1" s="2" t="inlineStr">
        <is>
          <t>Item Type</t>
        </is>
      </c>
      <c r="D1" s="2" t="inlineStr">
        <is>
          <t>Item ID</t>
        </is>
      </c>
      <c r="E1" s="2" t="inlineStr">
        <is>
          <t>Item Name</t>
        </is>
      </c>
      <c r="F1" s="2" t="inlineStr">
        <is>
          <t>Transaction Type</t>
        </is>
      </c>
      <c r="G1" s="2" t="inlineStr">
        <is>
          <t>Quantity</t>
        </is>
      </c>
      <c r="H1" s="2" t="inlineStr">
        <is>
          <t>Unit Rate (₹)</t>
        </is>
      </c>
      <c r="I1" s="2" t="inlineStr">
        <is>
          <t>GST %</t>
        </is>
      </c>
      <c r="J1" s="2" t="inlineStr">
        <is>
          <t>GST Amount (₹)</t>
        </is>
      </c>
      <c r="K1" s="2" t="inlineStr">
        <is>
          <t>Total Cost (₹)</t>
        </is>
      </c>
      <c r="L1" s="2" t="inlineStr">
        <is>
          <t>Project/Team</t>
        </is>
      </c>
      <c r="M1" s="2" t="inlineStr">
        <is>
          <t>Notes</t>
        </is>
      </c>
    </row>
    <row r="2">
      <c r="A2" s="4" t="n">
        <v>45659</v>
      </c>
      <c r="B2" s="5" t="inlineStr">
        <is>
          <t>TXN001</t>
        </is>
      </c>
      <c r="C2" s="5" t="inlineStr">
        <is>
          <t>Chemical</t>
        </is>
      </c>
      <c r="D2" s="5" t="inlineStr">
        <is>
          <t>CH001</t>
        </is>
      </c>
      <c r="E2" s="5" t="inlineStr">
        <is>
          <t>Floor Cleaner</t>
        </is>
      </c>
      <c r="F2" s="5" t="inlineStr">
        <is>
          <t>Purchase</t>
        </is>
      </c>
      <c r="G2" s="5" t="n">
        <v>50</v>
      </c>
      <c r="H2" s="6" t="n">
        <v>120</v>
      </c>
      <c r="I2" s="7" t="n">
        <v>0.18</v>
      </c>
      <c r="J2" s="6">
        <f>G2*H2*I2</f>
        <v/>
      </c>
      <c r="K2" s="6">
        <f>G2*H2+J2</f>
        <v/>
      </c>
      <c r="L2" s="5" t="inlineStr">
        <is>
          <t>Warehouse</t>
        </is>
      </c>
      <c r="M2" s="5" t="inlineStr">
        <is>
          <t>Monthly stock</t>
        </is>
      </c>
    </row>
    <row r="3">
      <c r="A3" s="8" t="n">
        <v>45660</v>
      </c>
      <c r="B3" s="3" t="inlineStr">
        <is>
          <t>TXN002</t>
        </is>
      </c>
      <c r="C3" s="3" t="inlineStr">
        <is>
          <t>Chemical</t>
        </is>
      </c>
      <c r="D3" s="3" t="inlineStr">
        <is>
          <t>CH004</t>
        </is>
      </c>
      <c r="E3" s="3" t="inlineStr">
        <is>
          <t>Pesticide Spray</t>
        </is>
      </c>
      <c r="F3" s="3" t="inlineStr">
        <is>
          <t>Purchase</t>
        </is>
      </c>
      <c r="G3" s="3" t="n">
        <v>25</v>
      </c>
      <c r="H3" s="9" t="n">
        <v>350</v>
      </c>
      <c r="I3" s="10" t="n">
        <v>0.18</v>
      </c>
      <c r="J3" s="9">
        <f>G3*H3*I3</f>
        <v/>
      </c>
      <c r="K3" s="9">
        <f>G3*H3+J3</f>
        <v/>
      </c>
      <c r="L3" s="3" t="inlineStr">
        <is>
          <t>Warehouse</t>
        </is>
      </c>
      <c r="M3" s="3" t="inlineStr"/>
    </row>
    <row r="4">
      <c r="A4" s="4" t="n">
        <v>45662</v>
      </c>
      <c r="B4" s="5" t="inlineStr">
        <is>
          <t>TXN003</t>
        </is>
      </c>
      <c r="C4" s="5" t="inlineStr">
        <is>
          <t>Accessory</t>
        </is>
      </c>
      <c r="D4" s="5" t="inlineStr">
        <is>
          <t>AC004</t>
        </is>
      </c>
      <c r="E4" s="5" t="inlineStr">
        <is>
          <t>Microfiber Cloth</t>
        </is>
      </c>
      <c r="F4" s="5" t="inlineStr">
        <is>
          <t>Purchase</t>
        </is>
      </c>
      <c r="G4" s="5" t="n">
        <v>50</v>
      </c>
      <c r="H4" s="6" t="n">
        <v>80</v>
      </c>
      <c r="I4" s="7" t="n">
        <v>0.18</v>
      </c>
      <c r="J4" s="6">
        <f>G4*H4*I4</f>
        <v/>
      </c>
      <c r="K4" s="6">
        <f>G4*H4+J4</f>
        <v/>
      </c>
      <c r="L4" s="5" t="inlineStr">
        <is>
          <t>Warehouse</t>
        </is>
      </c>
      <c r="M4" s="5" t="inlineStr">
        <is>
          <t>Bulk order</t>
        </is>
      </c>
    </row>
    <row r="5">
      <c r="A5" s="8" t="n">
        <v>45663</v>
      </c>
      <c r="B5" s="3" t="inlineStr">
        <is>
          <t>TXN004</t>
        </is>
      </c>
      <c r="C5" s="3" t="inlineStr">
        <is>
          <t>Chemical</t>
        </is>
      </c>
      <c r="D5" s="3" t="inlineStr">
        <is>
          <t>CH001</t>
        </is>
      </c>
      <c r="E5" s="3" t="inlineStr">
        <is>
          <t>Floor Cleaner</t>
        </is>
      </c>
      <c r="F5" s="3" t="inlineStr">
        <is>
          <t>Used</t>
        </is>
      </c>
      <c r="G5" s="3" t="n">
        <v>20</v>
      </c>
      <c r="H5" s="9" t="n">
        <v>0</v>
      </c>
      <c r="I5" s="10" t="n">
        <v>0</v>
      </c>
      <c r="J5" s="9">
        <f>G5*H5*I5</f>
        <v/>
      </c>
      <c r="K5" s="9">
        <f>G5*H5+J5</f>
        <v/>
      </c>
      <c r="L5" s="3" t="inlineStr">
        <is>
          <t>Team A</t>
        </is>
      </c>
      <c r="M5" s="3" t="inlineStr">
        <is>
          <t>Green Valley project</t>
        </is>
      </c>
    </row>
    <row r="6">
      <c r="A6" s="4" t="n">
        <v>45664</v>
      </c>
      <c r="B6" s="5" t="inlineStr">
        <is>
          <t>TXN005</t>
        </is>
      </c>
      <c r="C6" s="5" t="inlineStr">
        <is>
          <t>Accessory</t>
        </is>
      </c>
      <c r="D6" s="5" t="inlineStr">
        <is>
          <t>AC005</t>
        </is>
      </c>
      <c r="E6" s="5" t="inlineStr">
        <is>
          <t>Rubber Gloves</t>
        </is>
      </c>
      <c r="F6" s="5" t="inlineStr">
        <is>
          <t>Used</t>
        </is>
      </c>
      <c r="G6" s="5" t="n">
        <v>10</v>
      </c>
      <c r="H6" s="6" t="n">
        <v>0</v>
      </c>
      <c r="I6" s="7" t="n">
        <v>0</v>
      </c>
      <c r="J6" s="6">
        <f>G6*H6*I6</f>
        <v/>
      </c>
      <c r="K6" s="6">
        <f>G6*H6+J6</f>
        <v/>
      </c>
      <c r="L6" s="5" t="inlineStr">
        <is>
          <t>Team B</t>
        </is>
      </c>
      <c r="M6" s="5" t="inlineStr"/>
    </row>
    <row r="7">
      <c r="A7" s="8" t="n">
        <v>45665</v>
      </c>
      <c r="B7" s="3" t="inlineStr">
        <is>
          <t>TXN006</t>
        </is>
      </c>
      <c r="C7" s="3" t="inlineStr">
        <is>
          <t>Chemical</t>
        </is>
      </c>
      <c r="D7" s="3" t="inlineStr">
        <is>
          <t>CH002</t>
        </is>
      </c>
      <c r="E7" s="3" t="inlineStr">
        <is>
          <t>Glass Cleaner</t>
        </is>
      </c>
      <c r="F7" s="3" t="inlineStr">
        <is>
          <t>Purchase</t>
        </is>
      </c>
      <c r="G7" s="3" t="n">
        <v>25</v>
      </c>
      <c r="H7" s="9" t="n">
        <v>95</v>
      </c>
      <c r="I7" s="10" t="n">
        <v>0.18</v>
      </c>
      <c r="J7" s="9">
        <f>G7*H7*I7</f>
        <v/>
      </c>
      <c r="K7" s="9">
        <f>G7*H7+J7</f>
        <v/>
      </c>
      <c r="L7" s="3" t="inlineStr">
        <is>
          <t>Warehouse</t>
        </is>
      </c>
      <c r="M7" s="3" t="inlineStr"/>
    </row>
    <row r="8">
      <c r="A8" s="4" t="n">
        <v>45667</v>
      </c>
      <c r="B8" s="5" t="inlineStr">
        <is>
          <t>TXN007</t>
        </is>
      </c>
      <c r="C8" s="5" t="inlineStr">
        <is>
          <t>Accessory</t>
        </is>
      </c>
      <c r="D8" s="5" t="inlineStr">
        <is>
          <t>AC002</t>
        </is>
      </c>
      <c r="E8" s="5" t="inlineStr">
        <is>
          <t>Floor Mop</t>
        </is>
      </c>
      <c r="F8" s="5" t="inlineStr">
        <is>
          <t>Damaged</t>
        </is>
      </c>
      <c r="G8" s="5" t="n">
        <v>2</v>
      </c>
      <c r="H8" s="6" t="n">
        <v>0</v>
      </c>
      <c r="I8" s="7" t="n">
        <v>0</v>
      </c>
      <c r="J8" s="6">
        <f>G8*H8*I8</f>
        <v/>
      </c>
      <c r="K8" s="6">
        <f>G8*H8+J8</f>
        <v/>
      </c>
      <c r="L8" s="5" t="inlineStr">
        <is>
          <t>Team A</t>
        </is>
      </c>
      <c r="M8" s="5" t="inlineStr">
        <is>
          <t>Worn out</t>
        </is>
      </c>
    </row>
    <row r="9">
      <c r="A9" s="8" t="n">
        <v>45668</v>
      </c>
      <c r="B9" s="3" t="inlineStr">
        <is>
          <t>TXN008</t>
        </is>
      </c>
      <c r="C9" s="3" t="inlineStr">
        <is>
          <t>Chemical</t>
        </is>
      </c>
      <c r="D9" s="3" t="inlineStr">
        <is>
          <t>CH007</t>
        </is>
      </c>
      <c r="E9" s="3" t="inlineStr">
        <is>
          <t>Surface Disinfectant</t>
        </is>
      </c>
      <c r="F9" s="3" t="inlineStr">
        <is>
          <t>Used</t>
        </is>
      </c>
      <c r="G9" s="3" t="n">
        <v>15</v>
      </c>
      <c r="H9" s="9" t="n">
        <v>0</v>
      </c>
      <c r="I9" s="10" t="n">
        <v>0</v>
      </c>
      <c r="J9" s="9">
        <f>G9*H9*I9</f>
        <v/>
      </c>
      <c r="K9" s="9">
        <f>G9*H9+J9</f>
        <v/>
      </c>
      <c r="L9" s="3" t="inlineStr">
        <is>
          <t>Team C</t>
        </is>
      </c>
      <c r="M9" s="3" t="inlineStr">
        <is>
          <t>Hospital contract</t>
        </is>
      </c>
    </row>
    <row r="10">
      <c r="A10" s="4" t="n">
        <v>45669</v>
      </c>
      <c r="B10" s="5" t="inlineStr">
        <is>
          <t>TXN009</t>
        </is>
      </c>
      <c r="C10" s="5" t="inlineStr">
        <is>
          <t>Accessory</t>
        </is>
      </c>
      <c r="D10" s="5" t="inlineStr">
        <is>
          <t>AC003</t>
        </is>
      </c>
      <c r="E10" s="5" t="inlineStr">
        <is>
          <t>Scrub Brush</t>
        </is>
      </c>
      <c r="F10" s="5" t="inlineStr">
        <is>
          <t>Purchase</t>
        </is>
      </c>
      <c r="G10" s="5" t="n">
        <v>20</v>
      </c>
      <c r="H10" s="6" t="n">
        <v>45</v>
      </c>
      <c r="I10" s="7" t="n">
        <v>0.18</v>
      </c>
      <c r="J10" s="6">
        <f>G10*H10*I10</f>
        <v/>
      </c>
      <c r="K10" s="6">
        <f>G10*H10+J10</f>
        <v/>
      </c>
      <c r="L10" s="5" t="inlineStr">
        <is>
          <t>Warehouse</t>
        </is>
      </c>
      <c r="M10" s="5" t="inlineStr"/>
    </row>
    <row r="11">
      <c r="A11" s="8" t="n">
        <v>45671</v>
      </c>
      <c r="B11" s="3" t="inlineStr">
        <is>
          <t>TXN010</t>
        </is>
      </c>
      <c r="C11" s="3" t="inlineStr">
        <is>
          <t>Chemical</t>
        </is>
      </c>
      <c r="D11" s="3" t="inlineStr">
        <is>
          <t>CH005</t>
        </is>
      </c>
      <c r="E11" s="3" t="inlineStr">
        <is>
          <t>Termite Solution</t>
        </is>
      </c>
      <c r="F11" s="3" t="inlineStr">
        <is>
          <t>Purchase</t>
        </is>
      </c>
      <c r="G11" s="3" t="n">
        <v>20</v>
      </c>
      <c r="H11" s="9" t="n">
        <v>850</v>
      </c>
      <c r="I11" s="10" t="n">
        <v>0.18</v>
      </c>
      <c r="J11" s="9">
        <f>G11*H11*I11</f>
        <v/>
      </c>
      <c r="K11" s="9">
        <f>G11*H11+J11</f>
        <v/>
      </c>
      <c r="L11" s="3" t="inlineStr">
        <is>
          <t>Warehouse</t>
        </is>
      </c>
      <c r="M11" s="3" t="inlineStr"/>
    </row>
  </sheetData>
  <dataValidations count="3">
    <dataValidation sqref="C2:C1000 F2:F1000" showDropDown="0" showInputMessage="0" showErrorMessage="0" allowBlank="1" type="list">
      <formula1>"Chemical,Accessory,Machine,Spare Part"</formula1>
    </dataValidation>
    <dataValidation sqref="F2:F1000" showDropDown="0" showInputMessage="0" showErrorMessage="0" allowBlank="1" type="list">
      <formula1>"Purchase,Used,Returned,Damaged"</formula1>
    </dataValidation>
    <dataValidation sqref="G2:G1000 H2:H1000 I2:I1000 L2:L1000" showDropDown="0" showInputMessage="0" showErrorMessage="0" allowBlank="1" type="list">
      <formula1>"5%,12%,18%"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>
      <c r="A1" s="11" t="inlineStr">
        <is>
          <t>INCOME SUMMARY REPORT</t>
        </is>
      </c>
    </row>
    <row r="3">
      <c r="A3" s="12" t="inlineStr">
        <is>
          <t>SERVICE-WISE REVENUE</t>
        </is>
      </c>
    </row>
    <row r="4">
      <c r="A4" s="2" t="inlineStr">
        <is>
          <t>Service Type</t>
        </is>
      </c>
      <c r="B4" s="2" t="inlineStr">
        <is>
          <t>Base Revenue (₹)</t>
        </is>
      </c>
      <c r="C4" s="2" t="inlineStr">
        <is>
          <t>GST Collected (₹)</t>
        </is>
      </c>
      <c r="D4" s="2" t="inlineStr">
        <is>
          <t>Total Revenue (₹)</t>
        </is>
      </c>
      <c r="E4" s="2" t="inlineStr">
        <is>
          <t>Order Count</t>
        </is>
      </c>
    </row>
    <row r="5">
      <c r="A5" s="3" t="inlineStr">
        <is>
          <t>Deep Cleaning</t>
        </is>
      </c>
      <c r="B5" s="9">
        <f>SUMIF('Income Tracker'!D:D,A5,'Income Tracker'!G:G)</f>
        <v/>
      </c>
      <c r="C5" s="9">
        <f>SUMIF('Income Tracker'!D:D,A5,'Income Tracker'!I:I)</f>
        <v/>
      </c>
      <c r="D5" s="9">
        <f>SUMIF('Income Tracker'!D:D,A5,'Income Tracker'!J:J)</f>
        <v/>
      </c>
      <c r="E5" s="3">
        <f>COUNTIF('Income Tracker'!D:D,A5)</f>
        <v/>
      </c>
    </row>
    <row r="6">
      <c r="A6" s="5" t="inlineStr">
        <is>
          <t>Regular Cleaning</t>
        </is>
      </c>
      <c r="B6" s="6">
        <f>SUMIF('Income Tracker'!D:D,A6,'Income Tracker'!G:G)</f>
        <v/>
      </c>
      <c r="C6" s="6">
        <f>SUMIF('Income Tracker'!D:D,A6,'Income Tracker'!I:I)</f>
        <v/>
      </c>
      <c r="D6" s="6">
        <f>SUMIF('Income Tracker'!D:D,A6,'Income Tracker'!J:J)</f>
        <v/>
      </c>
      <c r="E6" s="5">
        <f>COUNTIF('Income Tracker'!D:D,A6)</f>
        <v/>
      </c>
    </row>
    <row r="7">
      <c r="A7" s="3" t="inlineStr">
        <is>
          <t>Pest Control</t>
        </is>
      </c>
      <c r="B7" s="9">
        <f>SUMIF('Income Tracker'!D:D,A7,'Income Tracker'!G:G)</f>
        <v/>
      </c>
      <c r="C7" s="9">
        <f>SUMIF('Income Tracker'!D:D,A7,'Income Tracker'!I:I)</f>
        <v/>
      </c>
      <c r="D7" s="9">
        <f>SUMIF('Income Tracker'!D:D,A7,'Income Tracker'!J:J)</f>
        <v/>
      </c>
      <c r="E7" s="3">
        <f>COUNTIF('Income Tracker'!D:D,A7)</f>
        <v/>
      </c>
    </row>
    <row r="8">
      <c r="A8" s="5" t="inlineStr">
        <is>
          <t>Painting</t>
        </is>
      </c>
      <c r="B8" s="6">
        <f>SUMIF('Income Tracker'!D:D,A8,'Income Tracker'!G:G)</f>
        <v/>
      </c>
      <c r="C8" s="6">
        <f>SUMIF('Income Tracker'!D:D,A8,'Income Tracker'!I:I)</f>
        <v/>
      </c>
      <c r="D8" s="6">
        <f>SUMIF('Income Tracker'!D:D,A8,'Income Tracker'!J:J)</f>
        <v/>
      </c>
      <c r="E8" s="5">
        <f>COUNTIF('Income Tracker'!D:D,A8)</f>
        <v/>
      </c>
    </row>
    <row r="9">
      <c r="A9" s="3" t="inlineStr">
        <is>
          <t>Plumbing</t>
        </is>
      </c>
      <c r="B9" s="9">
        <f>SUMIF('Income Tracker'!D:D,A9,'Income Tracker'!G:G)</f>
        <v/>
      </c>
      <c r="C9" s="9">
        <f>SUMIF('Income Tracker'!D:D,A9,'Income Tracker'!I:I)</f>
        <v/>
      </c>
      <c r="D9" s="9">
        <f>SUMIF('Income Tracker'!D:D,A9,'Income Tracker'!J:J)</f>
        <v/>
      </c>
      <c r="E9" s="3">
        <f>COUNTIF('Income Tracker'!D:D,A9)</f>
        <v/>
      </c>
    </row>
    <row r="10">
      <c r="A10" s="5" t="inlineStr">
        <is>
          <t>Electrical</t>
        </is>
      </c>
      <c r="B10" s="6">
        <f>SUMIF('Income Tracker'!D:D,A10,'Income Tracker'!G:G)</f>
        <v/>
      </c>
      <c r="C10" s="6">
        <f>SUMIF('Income Tracker'!D:D,A10,'Income Tracker'!I:I)</f>
        <v/>
      </c>
      <c r="D10" s="6">
        <f>SUMIF('Income Tracker'!D:D,A10,'Income Tracker'!J:J)</f>
        <v/>
      </c>
      <c r="E10" s="5">
        <f>COUNTIF('Income Tracker'!D:D,A10)</f>
        <v/>
      </c>
    </row>
    <row r="11">
      <c r="A11" s="3" t="inlineStr">
        <is>
          <t>Carpentry</t>
        </is>
      </c>
      <c r="B11" s="9">
        <f>SUMIF('Income Tracker'!D:D,A11,'Income Tracker'!G:G)</f>
        <v/>
      </c>
      <c r="C11" s="9">
        <f>SUMIF('Income Tracker'!D:D,A11,'Income Tracker'!I:I)</f>
        <v/>
      </c>
      <c r="D11" s="9">
        <f>SUMIF('Income Tracker'!D:D,A11,'Income Tracker'!J:J)</f>
        <v/>
      </c>
      <c r="E11" s="3">
        <f>COUNTIF('Income Tracker'!D:D,A11)</f>
        <v/>
      </c>
    </row>
    <row r="12">
      <c r="A12" s="5" t="inlineStr">
        <is>
          <t>AC Service</t>
        </is>
      </c>
      <c r="B12" s="6">
        <f>SUMIF('Income Tracker'!D:D,A12,'Income Tracker'!G:G)</f>
        <v/>
      </c>
      <c r="C12" s="6">
        <f>SUMIF('Income Tracker'!D:D,A12,'Income Tracker'!I:I)</f>
        <v/>
      </c>
      <c r="D12" s="6">
        <f>SUMIF('Income Tracker'!D:D,A12,'Income Tracker'!J:J)</f>
        <v/>
      </c>
      <c r="E12" s="5">
        <f>COUNTIF('Income Tracker'!D:D,A12)</f>
        <v/>
      </c>
    </row>
    <row r="13">
      <c r="A13" s="13" t="inlineStr">
        <is>
          <t>TOTAL</t>
        </is>
      </c>
      <c r="B13" s="14">
        <f>SUM(B5:B12)</f>
        <v/>
      </c>
      <c r="C13" s="14">
        <f>SUM(C5:C12)</f>
        <v/>
      </c>
      <c r="D13" s="14">
        <f>SUM(D5:D12)</f>
        <v/>
      </c>
      <c r="E13" s="3">
        <f>SUM(E5:E12)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1" t="inlineStr">
        <is>
          <t>EXPENSE SUMMARY REPORT</t>
        </is>
      </c>
    </row>
    <row r="3">
      <c r="A3" s="12" t="inlineStr">
        <is>
          <t>CATEGORY-WISE EXPENSES</t>
        </is>
      </c>
    </row>
    <row r="4">
      <c r="A4" s="2" t="inlineStr">
        <is>
          <t>Category</t>
        </is>
      </c>
      <c r="B4" s="2" t="inlineStr">
        <is>
          <t>Base Amount (₹)</t>
        </is>
      </c>
      <c r="C4" s="2" t="inlineStr">
        <is>
          <t>GST Paid (₹)</t>
        </is>
      </c>
      <c r="D4" s="2" t="inlineStr">
        <is>
          <t>Total Amount (₹)</t>
        </is>
      </c>
      <c r="E4" s="2" t="inlineStr">
        <is>
          <t>Transaction Count</t>
        </is>
      </c>
    </row>
    <row r="5">
      <c r="A5" s="3" t="inlineStr">
        <is>
          <t>Staff Salary</t>
        </is>
      </c>
      <c r="B5" s="9">
        <f>SUMIF('Expense Tracker'!C:C,A5,'Expense Tracker'!F:F)</f>
        <v/>
      </c>
      <c r="C5" s="9">
        <f>SUMIF('Expense Tracker'!C:C,A5,'Expense Tracker'!H:H)</f>
        <v/>
      </c>
      <c r="D5" s="9">
        <f>SUMIF('Expense Tracker'!C:C,A5,'Expense Tracker'!I:I)</f>
        <v/>
      </c>
      <c r="E5" s="3">
        <f>COUNTIF('Expense Tracker'!C:C,A5)</f>
        <v/>
      </c>
    </row>
    <row r="6">
      <c r="A6" s="5" t="inlineStr">
        <is>
          <t>Vendor Payment</t>
        </is>
      </c>
      <c r="B6" s="6">
        <f>SUMIF('Expense Tracker'!C:C,A6,'Expense Tracker'!F:F)</f>
        <v/>
      </c>
      <c r="C6" s="6">
        <f>SUMIF('Expense Tracker'!C:C,A6,'Expense Tracker'!H:H)</f>
        <v/>
      </c>
      <c r="D6" s="6">
        <f>SUMIF('Expense Tracker'!C:C,A6,'Expense Tracker'!I:I)</f>
        <v/>
      </c>
      <c r="E6" s="5">
        <f>COUNTIF('Expense Tracker'!C:C,A6)</f>
        <v/>
      </c>
    </row>
    <row r="7">
      <c r="A7" s="3" t="inlineStr">
        <is>
          <t>Travel &amp; Fuel</t>
        </is>
      </c>
      <c r="B7" s="9">
        <f>SUMIF('Expense Tracker'!C:C,A7,'Expense Tracker'!F:F)</f>
        <v/>
      </c>
      <c r="C7" s="9">
        <f>SUMIF('Expense Tracker'!C:C,A7,'Expense Tracker'!H:H)</f>
        <v/>
      </c>
      <c r="D7" s="9">
        <f>SUMIF('Expense Tracker'!C:C,A7,'Expense Tracker'!I:I)</f>
        <v/>
      </c>
      <c r="E7" s="3">
        <f>COUNTIF('Expense Tracker'!C:C,A7)</f>
        <v/>
      </c>
    </row>
    <row r="8">
      <c r="A8" s="5" t="inlineStr">
        <is>
          <t>Marketing</t>
        </is>
      </c>
      <c r="B8" s="6">
        <f>SUMIF('Expense Tracker'!C:C,A8,'Expense Tracker'!F:F)</f>
        <v/>
      </c>
      <c r="C8" s="6">
        <f>SUMIF('Expense Tracker'!C:C,A8,'Expense Tracker'!H:H)</f>
        <v/>
      </c>
      <c r="D8" s="6">
        <f>SUMIF('Expense Tracker'!C:C,A8,'Expense Tracker'!I:I)</f>
        <v/>
      </c>
      <c r="E8" s="5">
        <f>COUNTIF('Expense Tracker'!C:C,A8)</f>
        <v/>
      </c>
    </row>
    <row r="9">
      <c r="A9" s="3" t="inlineStr">
        <is>
          <t>Office Expenses</t>
        </is>
      </c>
      <c r="B9" s="9">
        <f>SUMIF('Expense Tracker'!C:C,A9,'Expense Tracker'!F:F)</f>
        <v/>
      </c>
      <c r="C9" s="9">
        <f>SUMIF('Expense Tracker'!C:C,A9,'Expense Tracker'!H:H)</f>
        <v/>
      </c>
      <c r="D9" s="9">
        <f>SUMIF('Expense Tracker'!C:C,A9,'Expense Tracker'!I:I)</f>
        <v/>
      </c>
      <c r="E9" s="3">
        <f>COUNTIF('Expense Tracker'!C:C,A9)</f>
        <v/>
      </c>
    </row>
    <row r="10">
      <c r="A10" s="5" t="inlineStr">
        <is>
          <t>Miscellaneous</t>
        </is>
      </c>
      <c r="B10" s="6">
        <f>SUMIF('Expense Tracker'!C:C,A10,'Expense Tracker'!F:F)</f>
        <v/>
      </c>
      <c r="C10" s="6">
        <f>SUMIF('Expense Tracker'!C:C,A10,'Expense Tracker'!H:H)</f>
        <v/>
      </c>
      <c r="D10" s="6">
        <f>SUMIF('Expense Tracker'!C:C,A10,'Expense Tracker'!I:I)</f>
        <v/>
      </c>
      <c r="E10" s="5">
        <f>COUNTIF('Expense Tracker'!C:C,A10)</f>
        <v/>
      </c>
    </row>
    <row r="11">
      <c r="A11" s="13" t="inlineStr">
        <is>
          <t>TOTAL</t>
        </is>
      </c>
      <c r="B11" s="14">
        <f>SUM(B5:B10)</f>
        <v/>
      </c>
      <c r="C11" s="14">
        <f>SUM(C5:C10)</f>
        <v/>
      </c>
      <c r="D11" s="14">
        <f>SUM(D5:D10)</f>
        <v/>
      </c>
      <c r="E11" s="3">
        <f>SUM(E5:E10)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11" t="inlineStr">
        <is>
          <t>GST SUMMARY REPORT</t>
        </is>
      </c>
    </row>
    <row r="2">
      <c r="A2" s="15" t="inlineStr">
        <is>
          <t>(For GST Filing Reference)</t>
        </is>
      </c>
    </row>
    <row r="4">
      <c r="A4" s="16" t="inlineStr">
        <is>
          <t>GST COLLECTED (OUTPUT TAX)</t>
        </is>
      </c>
    </row>
    <row r="5">
      <c r="A5" s="2" t="inlineStr">
        <is>
          <t>Source</t>
        </is>
      </c>
      <c r="B5" s="2" t="inlineStr">
        <is>
          <t>Base Amount (₹)</t>
        </is>
      </c>
      <c r="C5" s="2" t="inlineStr">
        <is>
          <t>GST Amount (₹)</t>
        </is>
      </c>
    </row>
    <row r="6">
      <c r="A6" s="5" t="inlineStr">
        <is>
          <t>Income from Services</t>
        </is>
      </c>
      <c r="B6" s="6">
        <f>SUM('Income Tracker'!G:G)</f>
        <v/>
      </c>
      <c r="C6" s="6">
        <f>SUM('Income Tracker'!I:I)</f>
        <v/>
      </c>
    </row>
    <row r="7">
      <c r="A7" s="13" t="inlineStr">
        <is>
          <t>TOTAL GST COLLECTED</t>
        </is>
      </c>
      <c r="B7" s="17">
        <f>B6</f>
        <v/>
      </c>
      <c r="C7" s="17">
        <f>C6</f>
        <v/>
      </c>
    </row>
    <row r="10">
      <c r="A10" s="18" t="inlineStr">
        <is>
          <t>GST PAID (INPUT TAX)</t>
        </is>
      </c>
    </row>
    <row r="11">
      <c r="A11" s="2" t="inlineStr">
        <is>
          <t>Source</t>
        </is>
      </c>
      <c r="B11" s="2" t="inlineStr">
        <is>
          <t>Base Amount (₹)</t>
        </is>
      </c>
      <c r="C11" s="2" t="inlineStr">
        <is>
          <t>GST Amount (₹)</t>
        </is>
      </c>
    </row>
    <row r="12">
      <c r="A12" s="5" t="inlineStr">
        <is>
          <t>Expenses</t>
        </is>
      </c>
      <c r="B12" s="6">
        <f>SUM('Expense Tracker'!F:F)</f>
        <v/>
      </c>
      <c r="C12" s="6">
        <f>SUM('Expense Tracker'!H:H)</f>
        <v/>
      </c>
    </row>
    <row r="13">
      <c r="A13" s="3" t="inlineStr">
        <is>
          <t>Stock Purchases</t>
        </is>
      </c>
      <c r="B13" s="9">
        <f>SUM('Stock Purchases'!K:K)</f>
        <v/>
      </c>
      <c r="C13" s="9">
        <f>SUM('Stock Purchases'!M:M)</f>
        <v/>
      </c>
    </row>
    <row r="14">
      <c r="A14" s="5" t="inlineStr">
        <is>
          <t>Machine Purchases</t>
        </is>
      </c>
      <c r="B14" s="6">
        <f>SUM('Machines &amp; Equipment'!F:F)</f>
        <v/>
      </c>
      <c r="C14" s="6">
        <f>SUM('Machines &amp; Equipment'!H:H)</f>
        <v/>
      </c>
    </row>
    <row r="15">
      <c r="A15" s="3" t="inlineStr">
        <is>
          <t>Machine Maintenance</t>
        </is>
      </c>
      <c r="B15" s="9">
        <f>SUM('Machine Maintenance'!F:F)</f>
        <v/>
      </c>
      <c r="C15" s="9">
        <f>SUM('Machine Maintenance'!H:H)</f>
        <v/>
      </c>
    </row>
    <row r="16">
      <c r="A16" s="19" t="inlineStr">
        <is>
          <t>TOTAL GST PAID</t>
        </is>
      </c>
      <c r="B16" s="20">
        <f>SUM(B12:B15)</f>
        <v/>
      </c>
      <c r="C16" s="20">
        <f>SUM(C12:C15)</f>
        <v/>
      </c>
    </row>
    <row r="19">
      <c r="A19" s="21" t="inlineStr">
        <is>
          <t>NET GST PAYABLE</t>
        </is>
      </c>
      <c r="C19" s="22">
        <f>C7-C16</f>
        <v/>
      </c>
    </row>
    <row r="21">
      <c r="A21" s="15" t="inlineStr">
        <is>
          <t>Note: Positive value = GST to pay to government</t>
        </is>
      </c>
    </row>
    <row r="22">
      <c r="A22" s="15" t="inlineStr">
        <is>
          <t>Negative value = GST credit (Input Tax Credit)</t>
        </is>
      </c>
    </row>
  </sheetData>
  <mergeCells count="2">
    <mergeCell ref="A1:D1"/>
    <mergeCell ref="A19:B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1" t="inlineStr">
        <is>
          <t>PROFITABILITY ANALYSIS</t>
        </is>
      </c>
    </row>
    <row r="3">
      <c r="A3" s="12" t="inlineStr">
        <is>
          <t>OVERALL PROFITABILITY</t>
        </is>
      </c>
    </row>
    <row r="4">
      <c r="A4" s="2" t="inlineStr">
        <is>
          <t>Metric</t>
        </is>
      </c>
      <c r="B4" s="2" t="inlineStr">
        <is>
          <t>Amount (₹)</t>
        </is>
      </c>
    </row>
    <row r="5">
      <c r="A5" s="3" t="inlineStr">
        <is>
          <t>Total Revenue (excl. GST)</t>
        </is>
      </c>
      <c r="B5" s="9">
        <f>SUM('Income Tracker'!G:G)</f>
        <v/>
      </c>
    </row>
    <row r="6">
      <c r="A6" s="5" t="inlineStr">
        <is>
          <t>Total Expenses (excl. GST)</t>
        </is>
      </c>
      <c r="B6" s="6">
        <f>SUM('Expense Tracker'!F:F)</f>
        <v/>
      </c>
    </row>
    <row r="7">
      <c r="A7" s="3" t="inlineStr">
        <is>
          <t>Gross Profit</t>
        </is>
      </c>
      <c r="B7" s="17">
        <f>B5-B6</f>
        <v/>
      </c>
    </row>
    <row r="8">
      <c r="A8" s="5" t="inlineStr">
        <is>
          <t>Profit Margin %</t>
        </is>
      </c>
      <c r="B8" s="23">
        <f>IF(B5&gt;0,B7/B5,0)</f>
        <v/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1" t="inlineStr">
        <is>
          <t>STOCK &amp; INVENTORY REPORTS</t>
        </is>
      </c>
    </row>
    <row r="3">
      <c r="A3" s="12" t="inlineStr">
        <is>
          <t>TOTAL ASSET VALUE</t>
        </is>
      </c>
    </row>
    <row r="4">
      <c r="A4" s="2" t="inlineStr">
        <is>
          <t>Category</t>
        </is>
      </c>
      <c r="B4" s="2" t="inlineStr">
        <is>
          <t>Base Value (₹)</t>
        </is>
      </c>
      <c r="C4" s="2" t="inlineStr">
        <is>
          <t>GST Paid (₹)</t>
        </is>
      </c>
      <c r="D4" s="2" t="inlineStr">
        <is>
          <t>Total Value (₹)</t>
        </is>
      </c>
      <c r="E4" s="2" t="inlineStr">
        <is>
          <t>Count</t>
        </is>
      </c>
    </row>
    <row r="5">
      <c r="A5" s="3" t="inlineStr">
        <is>
          <t>Cleaning Machine</t>
        </is>
      </c>
      <c r="B5" s="9">
        <f>SUMIF('Machines &amp; Equipment'!D:D,A5,'Machines &amp; Equipment'!F:F)</f>
        <v/>
      </c>
      <c r="C5" s="9">
        <f>SUMIF('Machines &amp; Equipment'!D:D,A5,'Machines &amp; Equipment'!H:H)</f>
        <v/>
      </c>
      <c r="D5" s="9">
        <f>SUMIF('Machines &amp; Equipment'!D:D,A5,'Machines &amp; Equipment'!I:I)</f>
        <v/>
      </c>
      <c r="E5" s="3">
        <f>COUNTIF('Machines &amp; Equipment'!D:D,A5)</f>
        <v/>
      </c>
    </row>
    <row r="6">
      <c r="A6" s="5" t="inlineStr">
        <is>
          <t>Spray Equipment</t>
        </is>
      </c>
      <c r="B6" s="6">
        <f>SUMIF('Machines &amp; Equipment'!D:D,A6,'Machines &amp; Equipment'!F:F)</f>
        <v/>
      </c>
      <c r="C6" s="6">
        <f>SUMIF('Machines &amp; Equipment'!D:D,A6,'Machines &amp; Equipment'!H:H)</f>
        <v/>
      </c>
      <c r="D6" s="6">
        <f>SUMIF('Machines &amp; Equipment'!D:D,A6,'Machines &amp; Equipment'!I:I)</f>
        <v/>
      </c>
      <c r="E6" s="5">
        <f>COUNTIF('Machines &amp; Equipment'!D:D,A6)</f>
        <v/>
      </c>
    </row>
    <row r="7">
      <c r="A7" s="3" t="inlineStr">
        <is>
          <t>Power Tools</t>
        </is>
      </c>
      <c r="B7" s="9">
        <f>SUMIF('Machines &amp; Equipment'!D:D,A7,'Machines &amp; Equipment'!F:F)</f>
        <v/>
      </c>
      <c r="C7" s="9">
        <f>SUMIF('Machines &amp; Equipment'!D:D,A7,'Machines &amp; Equipment'!H:H)</f>
        <v/>
      </c>
      <c r="D7" s="9">
        <f>SUMIF('Machines &amp; Equipment'!D:D,A7,'Machines &amp; Equipment'!I:I)</f>
        <v/>
      </c>
      <c r="E7" s="3">
        <f>COUNTIF('Machines &amp; Equipment'!D:D,A7)</f>
        <v/>
      </c>
    </row>
    <row r="8">
      <c r="A8" s="5" t="inlineStr">
        <is>
          <t>Safety Equipment</t>
        </is>
      </c>
      <c r="B8" s="6">
        <f>SUMIF('Machines &amp; Equipment'!D:D,A8,'Machines &amp; Equipment'!F:F)</f>
        <v/>
      </c>
      <c r="C8" s="6">
        <f>SUMIF('Machines &amp; Equipment'!D:D,A8,'Machines &amp; Equipment'!H:H)</f>
        <v/>
      </c>
      <c r="D8" s="6">
        <f>SUMIF('Machines &amp; Equipment'!D:D,A8,'Machines &amp; Equipment'!I:I)</f>
        <v/>
      </c>
      <c r="E8" s="5">
        <f>COUNTIF('Machines &amp; Equipment'!D:D,A8)</f>
        <v/>
      </c>
    </row>
    <row r="9">
      <c r="A9" s="13" t="inlineStr">
        <is>
          <t>TOTAL</t>
        </is>
      </c>
      <c r="B9" s="14">
        <f>SUM(B5:B8)</f>
        <v/>
      </c>
      <c r="C9" s="14">
        <f>SUM(C5:C8)</f>
        <v/>
      </c>
      <c r="D9" s="14">
        <f>SUM(D5:D8)</f>
        <v/>
      </c>
      <c r="E9" s="3">
        <f>SUM(E5:E8)</f>
        <v/>
      </c>
    </row>
    <row r="12">
      <c r="A12" s="12" t="inlineStr">
        <is>
          <t>STOCK PURCHASE SUMMARY</t>
        </is>
      </c>
    </row>
    <row r="13">
      <c r="A13" t="inlineStr">
        <is>
          <t>Total Stock Purchases (Base)</t>
        </is>
      </c>
      <c r="B13" s="24">
        <f>SUM('Stock Purchases'!K:K)</f>
        <v/>
      </c>
    </row>
    <row r="14">
      <c r="A14" t="inlineStr">
        <is>
          <t>Total GST on Purchases</t>
        </is>
      </c>
      <c r="B14" s="24">
        <f>SUM('Stock Purchases'!M:M)</f>
        <v/>
      </c>
    </row>
    <row r="15">
      <c r="A15" t="inlineStr">
        <is>
          <t>Total with GST</t>
        </is>
      </c>
      <c r="B15" s="25">
        <f>SUM('Stock Purchases'!N:N)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6" t="inlineStr">
        <is>
          <t>MIS DASHBOARD</t>
        </is>
      </c>
    </row>
    <row r="3">
      <c r="A3" s="27" t="inlineStr">
        <is>
          <t>KEY PERFORMANCE INDICATORS</t>
        </is>
      </c>
    </row>
    <row r="5">
      <c r="A5" s="28" t="inlineStr">
        <is>
          <t>Total Revenue</t>
        </is>
      </c>
      <c r="B5" s="29">
        <f>SUM('Income Tracker'!J:J)</f>
        <v/>
      </c>
      <c r="C5" s="28" t="inlineStr">
        <is>
          <t>Total Expenses</t>
        </is>
      </c>
      <c r="D5" s="29">
        <f>SUM('Expense Tracker'!I:I)</f>
        <v/>
      </c>
      <c r="E5" s="28" t="inlineStr">
        <is>
          <t>Net Profit</t>
        </is>
      </c>
      <c r="F5" s="30">
        <f>B5-D5</f>
        <v/>
      </c>
      <c r="G5" s="28" t="inlineStr">
        <is>
          <t>Profit Margin</t>
        </is>
      </c>
      <c r="H5" s="31">
        <f>IF(B5&gt;0,F5/B5,0)</f>
        <v/>
      </c>
    </row>
    <row r="7">
      <c r="A7" s="28" t="inlineStr">
        <is>
          <t>GST Collected</t>
        </is>
      </c>
      <c r="B7" s="29">
        <f>SUM('Income Tracker'!I:I)</f>
        <v/>
      </c>
      <c r="C7" s="28" t="inlineStr">
        <is>
          <t>GST Paid</t>
        </is>
      </c>
      <c r="D7" s="29">
        <f>SUM('Expense Tracker'!H:H)+SUM('Stock Purchases'!M:M)</f>
        <v/>
      </c>
      <c r="E7" s="28" t="inlineStr">
        <is>
          <t>Net GST Payable</t>
        </is>
      </c>
      <c r="F7" s="29">
        <f>B7-D7</f>
        <v/>
      </c>
      <c r="G7" s="28" t="inlineStr">
        <is>
          <t>Total Assets</t>
        </is>
      </c>
      <c r="H7" s="29">
        <f>SUM('Machines &amp; Equipment'!I:I)</f>
        <v/>
      </c>
    </row>
    <row r="10">
      <c r="A10" s="27" t="inlineStr">
        <is>
          <t>CHARTS DATA</t>
        </is>
      </c>
    </row>
    <row r="11">
      <c r="A11" t="inlineStr">
        <is>
          <t>Category</t>
        </is>
      </c>
      <c r="B11" t="inlineStr">
        <is>
          <t>Amount</t>
        </is>
      </c>
      <c r="D11" t="inlineStr">
        <is>
          <t>Service</t>
        </is>
      </c>
      <c r="E11" t="inlineStr">
        <is>
          <t>Revenue</t>
        </is>
      </c>
      <c r="G11" t="inlineStr">
        <is>
          <t>Expense Category</t>
        </is>
      </c>
      <c r="H11" t="inlineStr">
        <is>
          <t>Amount</t>
        </is>
      </c>
    </row>
    <row r="12">
      <c r="A12" t="inlineStr">
        <is>
          <t>Revenue</t>
        </is>
      </c>
      <c r="B12">
        <f>SUM('Income Tracker'!J:J)</f>
        <v/>
      </c>
      <c r="D12" t="inlineStr">
        <is>
          <t>Deep Cleaning</t>
        </is>
      </c>
      <c r="E12">
        <f>SUMIF('Income Tracker'!D:D,D12,'Income Tracker'!J:J)</f>
        <v/>
      </c>
      <c r="G12" t="inlineStr">
        <is>
          <t>Staff Salary</t>
        </is>
      </c>
      <c r="H12">
        <f>SUMIF('Expense Tracker'!C:C,G12,'Expense Tracker'!I:I)</f>
        <v/>
      </c>
    </row>
    <row r="13">
      <c r="A13" t="inlineStr">
        <is>
          <t>Expenses</t>
        </is>
      </c>
      <c r="B13">
        <f>SUM('Expense Tracker'!I:I)</f>
        <v/>
      </c>
      <c r="D13" t="inlineStr">
        <is>
          <t>Regular Cleaning</t>
        </is>
      </c>
      <c r="E13">
        <f>SUMIF('Income Tracker'!D:D,D13,'Income Tracker'!J:J)</f>
        <v/>
      </c>
      <c r="G13" t="inlineStr">
        <is>
          <t>Vendor Payment</t>
        </is>
      </c>
      <c r="H13">
        <f>SUMIF('Expense Tracker'!C:C,G13,'Expense Tracker'!I:I)</f>
        <v/>
      </c>
    </row>
    <row r="14">
      <c r="D14" t="inlineStr">
        <is>
          <t>Pest Control</t>
        </is>
      </c>
      <c r="E14">
        <f>SUMIF('Income Tracker'!D:D,D14,'Income Tracker'!J:J)</f>
        <v/>
      </c>
      <c r="G14" t="inlineStr">
        <is>
          <t>Travel &amp; Fuel</t>
        </is>
      </c>
      <c r="H14">
        <f>SUMIF('Expense Tracker'!C:C,G14,'Expense Tracker'!I:I)</f>
        <v/>
      </c>
    </row>
    <row r="15">
      <c r="D15" t="inlineStr">
        <is>
          <t>Painting</t>
        </is>
      </c>
      <c r="E15">
        <f>SUMIF('Income Tracker'!D:D,D15,'Income Tracker'!J:J)</f>
        <v/>
      </c>
      <c r="G15" t="inlineStr">
        <is>
          <t>Marketing</t>
        </is>
      </c>
      <c r="H15">
        <f>SUMIF('Expense Tracker'!C:C,G15,'Expense Tracker'!I:I)</f>
        <v/>
      </c>
    </row>
    <row r="16">
      <c r="D16" t="inlineStr">
        <is>
          <t>Plumbing</t>
        </is>
      </c>
      <c r="E16">
        <f>SUMIF('Income Tracker'!D:D,D16,'Income Tracker'!J:J)</f>
        <v/>
      </c>
      <c r="G16" t="inlineStr">
        <is>
          <t>Office Expenses</t>
        </is>
      </c>
      <c r="H16">
        <f>SUMIF('Expense Tracker'!C:C,G16,'Expense Tracker'!I:I)</f>
        <v/>
      </c>
    </row>
    <row r="17">
      <c r="D17" t="inlineStr">
        <is>
          <t>Electrical</t>
        </is>
      </c>
      <c r="E17">
        <f>SUMIF('Income Tracker'!D:D,D17,'Income Tracker'!J:J)</f>
        <v/>
      </c>
      <c r="G17" t="inlineStr">
        <is>
          <t>Miscellaneous</t>
        </is>
      </c>
      <c r="H17">
        <f>SUMIF('Expense Tracker'!C:C,G17,'Expense Tracker'!I:I)</f>
        <v/>
      </c>
    </row>
    <row r="18">
      <c r="D18" t="inlineStr">
        <is>
          <t>Carpentry</t>
        </is>
      </c>
      <c r="E18">
        <f>SUMIF('Income Tracker'!D:D,D18,'Income Tracker'!J:J)</f>
        <v/>
      </c>
    </row>
    <row r="19">
      <c r="D19" t="inlineStr">
        <is>
          <t>AC Service</t>
        </is>
      </c>
      <c r="E19">
        <f>SUMIF('Income Tracker'!D:D,D19,'Income Tracker'!J:J)</f>
        <v/>
      </c>
    </row>
  </sheetData>
  <mergeCells count="3">
    <mergeCell ref="A3:L3"/>
    <mergeCell ref="A1:L1"/>
    <mergeCell ref="A10:D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2026-01-29T12:22:14Z</dcterms:created>
  <dcterms:modified xsi:type="dcterms:W3CDTF">2026-01-29T12:22:14Z</dcterms:modified>
</cp:coreProperties>
</file>