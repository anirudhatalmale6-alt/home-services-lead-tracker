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Income Tracker" sheetId="2" state="visible" r:id="rId2"/>
    <sheet name="Expense Tracker" sheetId="3" state="visible" r:id="rId3"/>
    <sheet name="Employee Salaries" sheetId="4" state="visible" r:id="rId4"/>
    <sheet name="Contractor Payments" sheetId="5" state="visible" r:id="rId5"/>
    <sheet name="Stock Purchases" sheetId="6" state="visible" r:id="rId6"/>
    <sheet name="Machines &amp; Equipment" sheetId="7" state="visible" r:id="rId7"/>
    <sheet name="Machine Maintenance" sheetId="8" state="visible" r:id="rId8"/>
    <sheet name="Chemicals Stock" sheetId="9" state="visible" r:id="rId9"/>
    <sheet name="Accessories Stock" sheetId="10" state="visible" r:id="rId10"/>
    <sheet name="Stock Transactions" sheetId="11" state="visible" r:id="rId11"/>
    <sheet name="Income Summary" sheetId="12" state="visible" r:id="rId12"/>
    <sheet name="Expense Summary" sheetId="13" state="visible" r:id="rId13"/>
    <sheet name="GST Summary" sheetId="14" state="visible" r:id="rId14"/>
    <sheet name="TDS Summary" sheetId="15" state="visible" r:id="rId15"/>
    <sheet name="Profitability Report" sheetId="16" state="visible" r:id="rId16"/>
    <sheet name="Stock Reports" sheetId="17" state="visible" r:id="rId17"/>
    <sheet name="Dashboar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.00"/>
    <numFmt numFmtId="167" formatCode="0.0%"/>
  </numFmts>
  <fonts count="22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color rgb="001F4E79"/>
      <sz val="14"/>
    </font>
    <font>
      <b val="1"/>
      <sz val="12"/>
    </font>
    <font>
      <b val="1"/>
    </font>
    <font>
      <b val="1"/>
      <color rgb="00008000"/>
      <sz val="12"/>
    </font>
    <font>
      <b val="1"/>
      <color rgb="00008000"/>
    </font>
    <font>
      <b val="1"/>
      <color rgb="00FF0000"/>
      <sz val="12"/>
    </font>
    <font>
      <b val="1"/>
      <color rgb="00FF0000"/>
    </font>
    <font>
      <b val="1"/>
      <sz val="14"/>
    </font>
    <font>
      <i val="1"/>
      <color rgb="00666666"/>
    </font>
    <font>
      <color rgb="00008000"/>
    </font>
    <font>
      <color rgb="00FF0000"/>
    </font>
    <font>
      <b val="1"/>
      <color rgb="001F4E79"/>
    </font>
    <font>
      <color rgb="001F4E79"/>
    </font>
    <font>
      <b val="1"/>
      <color rgb="00006600"/>
      <sz val="14"/>
    </font>
    <font>
      <b val="1"/>
      <color rgb="00FFFFFF"/>
      <sz val="22"/>
    </font>
    <font>
      <b val="1"/>
      <color rgb="00FFFFFF"/>
      <sz val="10"/>
    </font>
    <font>
      <b val="1"/>
      <sz val="16"/>
    </font>
    <font>
      <b val="1"/>
      <color rgb="00006600"/>
      <sz val="16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28A745"/>
      </patternFill>
    </fill>
    <fill>
      <patternFill patternType="solid">
        <fgColor rgb="00DC3545"/>
      </patternFill>
    </fill>
    <fill>
      <patternFill patternType="solid">
        <fgColor rgb="00007BFF"/>
      </patternFill>
    </fill>
    <fill>
      <patternFill patternType="solid">
        <fgColor rgb="006F42C1"/>
      </patternFill>
    </fill>
    <fill>
      <patternFill patternType="solid">
        <fgColor rgb="00FFC10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166" fontId="0" fillId="3" borderId="1" pivotButton="0" quotePrefix="0" xfId="0"/>
    <xf numFmtId="9" fontId="0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167" fontId="0" fillId="3" borderId="1" pivotButton="0" quotePrefix="0" xfId="0"/>
    <xf numFmtId="167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6" fontId="5" fillId="0" borderId="1" pivotButton="0" quotePrefix="0" xfId="0"/>
    <xf numFmtId="0" fontId="5" fillId="3" borderId="1" pivotButton="0" quotePrefix="0" xfId="0"/>
    <xf numFmtId="166" fontId="5" fillId="3" borderId="1" pivotButton="0" quotePrefix="0" xfId="0"/>
    <xf numFmtId="0" fontId="6" fillId="0" borderId="0" pivotButton="0" quotePrefix="0" xfId="0"/>
    <xf numFmtId="166" fontId="7" fillId="3" borderId="1" pivotButton="0" quotePrefix="0" xfId="0"/>
    <xf numFmtId="0" fontId="8" fillId="0" borderId="0" pivotButton="0" quotePrefix="0" xfId="0"/>
    <xf numFmtId="166" fontId="9" fillId="0" borderId="1" pivotButton="0" quotePrefix="0" xfId="0"/>
    <xf numFmtId="0" fontId="10" fillId="0" borderId="0" pivotButton="0" quotePrefix="0" xfId="0"/>
    <xf numFmtId="166" fontId="3" fillId="4" borderId="0" pivotButton="0" quotePrefix="0" xfId="0"/>
    <xf numFmtId="0" fontId="11" fillId="0" borderId="0" pivotButton="0" quotePrefix="0" xfId="0"/>
    <xf numFmtId="166" fontId="9" fillId="3" borderId="1" pivotButton="0" quotePrefix="0" xfId="0"/>
    <xf numFmtId="166" fontId="12" fillId="0" borderId="1" pivotButton="0" quotePrefix="0" xfId="0"/>
    <xf numFmtId="166" fontId="13" fillId="0" borderId="1" pivotButton="0" quotePrefix="0" xfId="0"/>
    <xf numFmtId="166" fontId="13" fillId="3" borderId="1" pivotButton="0" quotePrefix="0" xfId="0"/>
    <xf numFmtId="0" fontId="16" fillId="3" borderId="1" pivotButton="0" quotePrefix="0" xfId="0"/>
    <xf numFmtId="166" fontId="14" fillId="0" borderId="1" pivotButton="0" quotePrefix="0" xfId="0"/>
    <xf numFmtId="167" fontId="15" fillId="0" borderId="1" pivotButton="0" quotePrefix="0" xfId="0"/>
    <xf numFmtId="0" fontId="17" fillId="2" borderId="0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166" fontId="19" fillId="0" borderId="0" applyAlignment="1" pivotButton="0" quotePrefix="0" xfId="0">
      <alignment horizontal="center" vertical="center"/>
    </xf>
    <xf numFmtId="166" fontId="20" fillId="5" borderId="0" applyAlignment="1" pivotButton="0" quotePrefix="0" xfId="0">
      <alignment horizontal="center" vertical="center"/>
    </xf>
    <xf numFmtId="167" fontId="19" fillId="0" borderId="0" applyAlignment="1" pivotButton="0" quotePrefix="0" xfId="0">
      <alignment horizontal="center" vertical="center"/>
    </xf>
    <xf numFmtId="0" fontId="21" fillId="2" borderId="0" pivotButton="0" quotePrefix="0" xfId="0"/>
    <xf numFmtId="0" fontId="5" fillId="10" borderId="0" pivotButton="0" quotePrefix="0" xfId="0"/>
    <xf numFmtId="166" fontId="5" fillId="1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Service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>
              <a:prstDash val="solid"/>
            </a:ln>
          </spPr>
          <cat>
            <numRef>
              <f>'Dashboard'!$A$19:$A$26</f>
            </numRef>
          </cat>
          <val>
            <numRef>
              <f>'Dashboard'!$B$19:$B$26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17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</cols>
  <sheetData>
    <row r="1">
      <c r="A1" s="1" t="inlineStr"/>
    </row>
    <row r="2">
      <c r="A2" t="inlineStr"/>
    </row>
    <row r="3">
      <c r="A3" s="2" t="inlineStr">
        <is>
          <t>SHEET</t>
        </is>
      </c>
      <c r="B3" s="2" t="inlineStr">
        <is>
          <t>PURPOSE</t>
        </is>
      </c>
      <c r="C3" s="2" t="inlineStr">
        <is>
          <t>HOW TO USE</t>
        </is>
      </c>
    </row>
    <row r="4">
      <c r="A4" s="3" t="inlineStr">
        <is>
          <t>Income Tracker</t>
        </is>
      </c>
      <c r="B4" s="3" t="inlineStr">
        <is>
          <t>Record all service revenue with GST &amp; Discounts</t>
        </is>
      </c>
      <c r="C4" s="3" t="inlineStr">
        <is>
          <t>Enter each payment with service type</t>
        </is>
      </c>
    </row>
    <row r="5">
      <c r="A5" s="3" t="inlineStr">
        <is>
          <t>Expense Tracker</t>
        </is>
      </c>
      <c r="B5" s="3" t="inlineStr">
        <is>
          <t>Track all business expenses with GST</t>
        </is>
      </c>
      <c r="C5" s="3" t="inlineStr">
        <is>
          <t>Log every expense with category</t>
        </is>
      </c>
    </row>
    <row r="6">
      <c r="A6" s="3" t="inlineStr">
        <is>
          <t>Employee Salaries</t>
        </is>
      </c>
      <c r="B6" s="3" t="inlineStr">
        <is>
          <t>Track employee salary payments</t>
        </is>
      </c>
      <c r="C6" s="3" t="inlineStr">
        <is>
          <t>Monthly salary - PF/ESI/HRA default 0</t>
        </is>
      </c>
    </row>
    <row r="7">
      <c r="A7" s="3" t="inlineStr">
        <is>
          <t>Contractor Payments</t>
        </is>
      </c>
      <c r="B7" s="3" t="inlineStr">
        <is>
          <t>Track contractor payouts with TDS</t>
        </is>
      </c>
      <c r="C7" s="3" t="inlineStr">
        <is>
          <t>Gross amount, TDS deduction, net payable</t>
        </is>
      </c>
    </row>
    <row r="8">
      <c r="A8" s="3" t="inlineStr">
        <is>
          <t>Stock Purchases</t>
        </is>
      </c>
      <c r="B8" s="3" t="inlineStr">
        <is>
          <t>Track inventory purchases</t>
        </is>
      </c>
      <c r="C8" s="3" t="inlineStr">
        <is>
          <t>Vendor purchases with GST</t>
        </is>
      </c>
    </row>
    <row r="9">
      <c r="A9" s="3" t="inlineStr">
        <is>
          <t>Machines &amp; Equipment</t>
        </is>
      </c>
      <c r="B9" s="3" t="inlineStr">
        <is>
          <t>Asset register</t>
        </is>
      </c>
      <c r="C9" s="3" t="inlineStr">
        <is>
          <t>Add machines with Invoice &amp; GST details</t>
        </is>
      </c>
    </row>
    <row r="10">
      <c r="A10" s="3" t="inlineStr">
        <is>
          <t>Machine Maintenance</t>
        </is>
      </c>
      <c r="B10" s="3" t="inlineStr">
        <is>
          <t>Track repairs/servicing</t>
        </is>
      </c>
      <c r="C10" s="3" t="inlineStr">
        <is>
          <t>Log maintenance with status</t>
        </is>
      </c>
    </row>
    <row r="11">
      <c r="A11" s="3" t="inlineStr">
        <is>
          <t>Chemicals Stock</t>
        </is>
      </c>
      <c r="B11" s="3" t="inlineStr">
        <is>
          <t>Chemical inventory</t>
        </is>
      </c>
      <c r="C11" s="3" t="inlineStr">
        <is>
          <t>Track opening, added, used, closing stock</t>
        </is>
      </c>
    </row>
    <row r="12">
      <c r="A12" s="3" t="inlineStr">
        <is>
          <t>Accessories Stock</t>
        </is>
      </c>
      <c r="B12" s="3" t="inlineStr">
        <is>
          <t>Consumables inventory</t>
        </is>
      </c>
      <c r="C12" s="3" t="inlineStr">
        <is>
          <t>Track stock levels</t>
        </is>
      </c>
    </row>
    <row r="13">
      <c r="A13" s="3" t="inlineStr">
        <is>
          <t>Stock Transactions</t>
        </is>
      </c>
      <c r="B13" s="3" t="inlineStr">
        <is>
          <t>Stock movement log</t>
        </is>
      </c>
      <c r="C13" s="3" t="inlineStr">
        <is>
          <t>Record purchases and usage</t>
        </is>
      </c>
    </row>
    <row r="14">
      <c r="A14" s="3" t="inlineStr">
        <is>
          <t>Income Summary</t>
        </is>
      </c>
      <c r="B14" s="3" t="inlineStr">
        <is>
          <t>Revenue reports</t>
        </is>
      </c>
      <c r="C14" s="3" t="inlineStr">
        <is>
          <t>Auto-calculated from Income Tracker</t>
        </is>
      </c>
    </row>
    <row r="15">
      <c r="A15" s="3" t="inlineStr">
        <is>
          <t>Expense Summary</t>
        </is>
      </c>
      <c r="B15" s="3" t="inlineStr">
        <is>
          <t>Expense reports</t>
        </is>
      </c>
      <c r="C15" s="3" t="inlineStr">
        <is>
          <t>Auto-calculated from Expense Tracker</t>
        </is>
      </c>
    </row>
    <row r="16">
      <c r="A16" s="3" t="inlineStr">
        <is>
          <t>GST Summary</t>
        </is>
      </c>
      <c r="B16" s="3" t="inlineStr">
        <is>
          <t>GST collected vs paid</t>
        </is>
      </c>
      <c r="C16" s="3" t="inlineStr">
        <is>
          <t>For GST filing reference</t>
        </is>
      </c>
    </row>
    <row r="17">
      <c r="A17" s="3" t="inlineStr">
        <is>
          <t>TDS Summary</t>
        </is>
      </c>
      <c r="B17" s="3" t="inlineStr">
        <is>
          <t>TDS deducted from contractors</t>
        </is>
      </c>
      <c r="C17" s="3" t="inlineStr">
        <is>
          <t>For TDS filing reference</t>
        </is>
      </c>
    </row>
    <row r="18">
      <c r="A18" s="3" t="inlineStr">
        <is>
          <t>Profitability Report</t>
        </is>
      </c>
      <c r="B18" s="3" t="inlineStr">
        <is>
          <t>Profit analysis</t>
        </is>
      </c>
      <c r="C18" s="3" t="inlineStr">
        <is>
          <t>Shows actual NET PROFIT</t>
        </is>
      </c>
    </row>
    <row r="19">
      <c r="A19" s="3" t="inlineStr">
        <is>
          <t>Dashboard</t>
        </is>
      </c>
      <c r="B19" s="3" t="inlineStr">
        <is>
          <t>Visual overview</t>
        </is>
      </c>
      <c r="C19" s="3" t="inlineStr">
        <is>
          <t>Key metrics and charts</t>
        </is>
      </c>
    </row>
    <row r="20">
      <c r="A20" s="3" t="n"/>
      <c r="B20" s="3" t="n"/>
      <c r="C20" s="3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4" customWidth="1" min="5" max="5"/>
    <col width="22" customWidth="1" min="6" max="6"/>
    <col width="14" customWidth="1" min="7" max="7"/>
    <col width="10" customWidth="1" min="8" max="8"/>
    <col width="14" customWidth="1" min="9" max="9"/>
    <col width="16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Date</t>
        </is>
      </c>
      <c r="B1" s="2" t="inlineStr">
        <is>
          <t>Invoice No</t>
        </is>
      </c>
      <c r="C1" s="2" t="inlineStr">
        <is>
          <t>Customer Name</t>
        </is>
      </c>
      <c r="D1" s="2" t="inlineStr">
        <is>
          <t>Service Type</t>
        </is>
      </c>
      <c r="E1" s="2" t="inlineStr">
        <is>
          <t>Project Type</t>
        </is>
      </c>
      <c r="F1" s="2" t="inlineStr">
        <is>
          <t>Project Name</t>
        </is>
      </c>
      <c r="G1" s="2" t="inlineStr">
        <is>
          <t>Base Amount (₹)</t>
        </is>
      </c>
      <c r="H1" s="2" t="inlineStr">
        <is>
          <t>Discount %</t>
        </is>
      </c>
      <c r="I1" s="2" t="inlineStr">
        <is>
          <t>Discount Amount (₹)</t>
        </is>
      </c>
      <c r="J1" s="2" t="inlineStr">
        <is>
          <t>Amount After Discount (₹)</t>
        </is>
      </c>
      <c r="K1" s="2" t="inlineStr">
        <is>
          <t>GST %</t>
        </is>
      </c>
      <c r="L1" s="2" t="inlineStr">
        <is>
          <t>GST Amount (₹)</t>
        </is>
      </c>
      <c r="M1" s="2" t="inlineStr">
        <is>
          <t>Total Amount (₹)</t>
        </is>
      </c>
      <c r="N1" s="2" t="inlineStr">
        <is>
          <t>Payment Mode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4" t="n">
        <v>45665</v>
      </c>
      <c r="B2" s="5" t="inlineStr">
        <is>
          <t>INV-2025-1001</t>
        </is>
      </c>
      <c r="C2" s="5" t="inlineStr">
        <is>
          <t>Rajesh Kumar</t>
        </is>
      </c>
      <c r="D2" s="5" t="inlineStr">
        <is>
          <t>Pest Control</t>
        </is>
      </c>
      <c r="E2" s="5" t="inlineStr">
        <is>
          <t>Commercial</t>
        </is>
      </c>
      <c r="F2" s="5" t="inlineStr">
        <is>
          <t>Tech Park</t>
        </is>
      </c>
      <c r="G2" s="6" t="n">
        <v>55884</v>
      </c>
      <c r="H2" s="7" t="n">
        <v>0.1</v>
      </c>
      <c r="I2" s="6">
        <f>G2*H2</f>
        <v/>
      </c>
      <c r="J2" s="6">
        <f>G2-I2</f>
        <v/>
      </c>
      <c r="K2" s="7" t="n">
        <v>0.18</v>
      </c>
      <c r="L2" s="6">
        <f>J2*K2</f>
        <v/>
      </c>
      <c r="M2" s="6">
        <f>J2+L2</f>
        <v/>
      </c>
      <c r="N2" s="5" t="inlineStr">
        <is>
          <t>Card</t>
        </is>
      </c>
      <c r="O2" s="5" t="inlineStr">
        <is>
          <t>Received</t>
        </is>
      </c>
      <c r="P2" s="5" t="n"/>
    </row>
    <row r="3">
      <c r="A3" s="8" t="n">
        <v>45667</v>
      </c>
      <c r="B3" s="3" t="inlineStr">
        <is>
          <t>INV-2025-1002</t>
        </is>
      </c>
      <c r="C3" s="3" t="inlineStr">
        <is>
          <t>Priya Sharma</t>
        </is>
      </c>
      <c r="D3" s="3" t="inlineStr">
        <is>
          <t>AC Service</t>
        </is>
      </c>
      <c r="E3" s="3" t="inlineStr">
        <is>
          <t>Apartment Bulk</t>
        </is>
      </c>
      <c r="F3" s="3" t="inlineStr">
        <is>
          <t>Green Valley Apartments</t>
        </is>
      </c>
      <c r="G3" s="9" t="n">
        <v>66717</v>
      </c>
      <c r="H3" s="10" t="n">
        <v>0</v>
      </c>
      <c r="I3" s="9">
        <f>G3*H3</f>
        <v/>
      </c>
      <c r="J3" s="9">
        <f>G3-I3</f>
        <v/>
      </c>
      <c r="K3" s="10" t="n">
        <v>0.18</v>
      </c>
      <c r="L3" s="9">
        <f>J3*K3</f>
        <v/>
      </c>
      <c r="M3" s="9">
        <f>J3+L3</f>
        <v/>
      </c>
      <c r="N3" s="3" t="inlineStr">
        <is>
          <t>Bank Transfer</t>
        </is>
      </c>
      <c r="O3" s="3" t="inlineStr">
        <is>
          <t>Pending</t>
        </is>
      </c>
      <c r="P3" s="3" t="n"/>
    </row>
    <row r="4">
      <c r="A4" s="4" t="n">
        <v>45682</v>
      </c>
      <c r="B4" s="5" t="inlineStr">
        <is>
          <t>INV-2025-1003</t>
        </is>
      </c>
      <c r="C4" s="5" t="inlineStr">
        <is>
          <t>Amit Patel</t>
        </is>
      </c>
      <c r="D4" s="5" t="inlineStr">
        <is>
          <t>Deep Cleaning</t>
        </is>
      </c>
      <c r="E4" s="5" t="inlineStr">
        <is>
          <t>Individual</t>
        </is>
      </c>
      <c r="F4" s="5" t="inlineStr"/>
      <c r="G4" s="6" t="n">
        <v>9253</v>
      </c>
      <c r="H4" s="7" t="n">
        <v>0</v>
      </c>
      <c r="I4" s="6">
        <f>G4*H4</f>
        <v/>
      </c>
      <c r="J4" s="6">
        <f>G4-I4</f>
        <v/>
      </c>
      <c r="K4" s="7" t="n">
        <v>0.18</v>
      </c>
      <c r="L4" s="6">
        <f>J4*K4</f>
        <v/>
      </c>
      <c r="M4" s="6">
        <f>J4+L4</f>
        <v/>
      </c>
      <c r="N4" s="5" t="inlineStr">
        <is>
          <t>UPI</t>
        </is>
      </c>
      <c r="O4" s="5" t="inlineStr">
        <is>
          <t>Pending</t>
        </is>
      </c>
      <c r="P4" s="5" t="n"/>
    </row>
    <row r="5">
      <c r="A5" s="8" t="n">
        <v>45673</v>
      </c>
      <c r="B5" s="3" t="inlineStr">
        <is>
          <t>INV-2025-1004</t>
        </is>
      </c>
      <c r="C5" s="3" t="inlineStr">
        <is>
          <t>Sunita Reddy</t>
        </is>
      </c>
      <c r="D5" s="3" t="inlineStr">
        <is>
          <t>Deep Cleaning</t>
        </is>
      </c>
      <c r="E5" s="3" t="inlineStr">
        <is>
          <t>Apartment Bulk</t>
        </is>
      </c>
      <c r="F5" s="3" t="inlineStr">
        <is>
          <t>Green Valley Apartments</t>
        </is>
      </c>
      <c r="G5" s="9" t="n">
        <v>74496</v>
      </c>
      <c r="H5" s="10" t="n">
        <v>0</v>
      </c>
      <c r="I5" s="9">
        <f>G5*H5</f>
        <v/>
      </c>
      <c r="J5" s="9">
        <f>G5-I5</f>
        <v/>
      </c>
      <c r="K5" s="10" t="n">
        <v>0.18</v>
      </c>
      <c r="L5" s="9">
        <f>J5*K5</f>
        <v/>
      </c>
      <c r="M5" s="9">
        <f>J5+L5</f>
        <v/>
      </c>
      <c r="N5" s="3" t="inlineStr">
        <is>
          <t>Cash</t>
        </is>
      </c>
      <c r="O5" s="3" t="inlineStr">
        <is>
          <t>Pending</t>
        </is>
      </c>
      <c r="P5" s="3" t="n"/>
    </row>
    <row r="6">
      <c r="A6" s="4" t="n">
        <v>45683</v>
      </c>
      <c r="B6" s="5" t="inlineStr">
        <is>
          <t>INV-2025-1005</t>
        </is>
      </c>
      <c r="C6" s="5" t="inlineStr">
        <is>
          <t>Vikram Singh</t>
        </is>
      </c>
      <c r="D6" s="5" t="inlineStr">
        <is>
          <t>Deep Cleaning</t>
        </is>
      </c>
      <c r="E6" s="5" t="inlineStr">
        <is>
          <t>Apartment Bulk</t>
        </is>
      </c>
      <c r="F6" s="5" t="inlineStr">
        <is>
          <t>Green Valley Apartments</t>
        </is>
      </c>
      <c r="G6" s="6" t="n">
        <v>164907</v>
      </c>
      <c r="H6" s="7" t="n">
        <v>0.1</v>
      </c>
      <c r="I6" s="6">
        <f>G6*H6</f>
        <v/>
      </c>
      <c r="J6" s="6">
        <f>G6-I6</f>
        <v/>
      </c>
      <c r="K6" s="7" t="n">
        <v>0.18</v>
      </c>
      <c r="L6" s="6">
        <f>J6*K6</f>
        <v/>
      </c>
      <c r="M6" s="6">
        <f>J6+L6</f>
        <v/>
      </c>
      <c r="N6" s="5" t="inlineStr">
        <is>
          <t>UPI</t>
        </is>
      </c>
      <c r="O6" s="5" t="inlineStr">
        <is>
          <t>Received</t>
        </is>
      </c>
      <c r="P6" s="5" t="n"/>
    </row>
    <row r="7">
      <c r="A7" s="8" t="n">
        <v>45667</v>
      </c>
      <c r="B7" s="3" t="inlineStr">
        <is>
          <t>INV-2025-1006</t>
        </is>
      </c>
      <c r="C7" s="3" t="inlineStr">
        <is>
          <t>Deepa Nair</t>
        </is>
      </c>
      <c r="D7" s="3" t="inlineStr">
        <is>
          <t>Regular Cleaning</t>
        </is>
      </c>
      <c r="E7" s="3" t="inlineStr">
        <is>
          <t>Apartment Bulk</t>
        </is>
      </c>
      <c r="F7" s="3" t="inlineStr">
        <is>
          <t>Green Valley Apartments</t>
        </is>
      </c>
      <c r="G7" s="9" t="n">
        <v>128923</v>
      </c>
      <c r="H7" s="10" t="n">
        <v>0</v>
      </c>
      <c r="I7" s="9">
        <f>G7*H7</f>
        <v/>
      </c>
      <c r="J7" s="9">
        <f>G7-I7</f>
        <v/>
      </c>
      <c r="K7" s="10" t="n">
        <v>0.18</v>
      </c>
      <c r="L7" s="9">
        <f>J7*K7</f>
        <v/>
      </c>
      <c r="M7" s="9">
        <f>J7+L7</f>
        <v/>
      </c>
      <c r="N7" s="3" t="inlineStr">
        <is>
          <t>Cash</t>
        </is>
      </c>
      <c r="O7" s="3" t="inlineStr">
        <is>
          <t>Received</t>
        </is>
      </c>
      <c r="P7" s="3" t="n"/>
    </row>
    <row r="8">
      <c r="A8" s="4" t="n">
        <v>45661</v>
      </c>
      <c r="B8" s="5" t="inlineStr">
        <is>
          <t>INV-2025-1007</t>
        </is>
      </c>
      <c r="C8" s="5" t="inlineStr">
        <is>
          <t>Karthik Iyer</t>
        </is>
      </c>
      <c r="D8" s="5" t="inlineStr">
        <is>
          <t>Painting</t>
        </is>
      </c>
      <c r="E8" s="5" t="inlineStr">
        <is>
          <t>Individual</t>
        </is>
      </c>
      <c r="F8" s="5" t="inlineStr"/>
      <c r="G8" s="6" t="n">
        <v>20806</v>
      </c>
      <c r="H8" s="7" t="n">
        <v>0</v>
      </c>
      <c r="I8" s="6">
        <f>G8*H8</f>
        <v/>
      </c>
      <c r="J8" s="6">
        <f>G8-I8</f>
        <v/>
      </c>
      <c r="K8" s="7" t="n">
        <v>0.18</v>
      </c>
      <c r="L8" s="6">
        <f>J8*K8</f>
        <v/>
      </c>
      <c r="M8" s="6">
        <f>J8+L8</f>
        <v/>
      </c>
      <c r="N8" s="5" t="inlineStr">
        <is>
          <t>UPI</t>
        </is>
      </c>
      <c r="O8" s="5" t="inlineStr">
        <is>
          <t>Pending</t>
        </is>
      </c>
      <c r="P8" s="5" t="n"/>
    </row>
    <row r="9">
      <c r="A9" s="8" t="n">
        <v>45681</v>
      </c>
      <c r="B9" s="3" t="inlineStr">
        <is>
          <t>INV-2025-1008</t>
        </is>
      </c>
      <c r="C9" s="3" t="inlineStr">
        <is>
          <t>Meena Gupta</t>
        </is>
      </c>
      <c r="D9" s="3" t="inlineStr">
        <is>
          <t>Plumbing</t>
        </is>
      </c>
      <c r="E9" s="3" t="inlineStr">
        <is>
          <t>Individual</t>
        </is>
      </c>
      <c r="F9" s="3" t="inlineStr"/>
      <c r="G9" s="9" t="n">
        <v>6516</v>
      </c>
      <c r="H9" s="10" t="n">
        <v>0.05</v>
      </c>
      <c r="I9" s="9">
        <f>G9*H9</f>
        <v/>
      </c>
      <c r="J9" s="9">
        <f>G9-I9</f>
        <v/>
      </c>
      <c r="K9" s="10" t="n">
        <v>0.18</v>
      </c>
      <c r="L9" s="9">
        <f>J9*K9</f>
        <v/>
      </c>
      <c r="M9" s="9">
        <f>J9+L9</f>
        <v/>
      </c>
      <c r="N9" s="3" t="inlineStr">
        <is>
          <t>Card</t>
        </is>
      </c>
      <c r="O9" s="3" t="inlineStr">
        <is>
          <t>Received</t>
        </is>
      </c>
      <c r="P9" s="3" t="n"/>
    </row>
    <row r="10">
      <c r="A10" s="4" t="n">
        <v>45660</v>
      </c>
      <c r="B10" s="5" t="inlineStr">
        <is>
          <t>INV-2025-1009</t>
        </is>
      </c>
      <c r="C10" s="5" t="inlineStr">
        <is>
          <t>Rahul Verma</t>
        </is>
      </c>
      <c r="D10" s="5" t="inlineStr">
        <is>
          <t>Plumbing</t>
        </is>
      </c>
      <c r="E10" s="5" t="inlineStr">
        <is>
          <t>Commercial</t>
        </is>
      </c>
      <c r="F10" s="5" t="inlineStr">
        <is>
          <t>Tech Park</t>
        </is>
      </c>
      <c r="G10" s="6" t="n">
        <v>171185</v>
      </c>
      <c r="H10" s="7" t="n">
        <v>0.1</v>
      </c>
      <c r="I10" s="6">
        <f>G10*H10</f>
        <v/>
      </c>
      <c r="J10" s="6">
        <f>G10-I10</f>
        <v/>
      </c>
      <c r="K10" s="7" t="n">
        <v>0.18</v>
      </c>
      <c r="L10" s="6">
        <f>J10*K10</f>
        <v/>
      </c>
      <c r="M10" s="6">
        <f>J10+L10</f>
        <v/>
      </c>
      <c r="N10" s="5" t="inlineStr">
        <is>
          <t>Card</t>
        </is>
      </c>
      <c r="O10" s="5" t="inlineStr">
        <is>
          <t>Received</t>
        </is>
      </c>
      <c r="P10" s="5" t="n"/>
    </row>
    <row r="11">
      <c r="A11" s="8" t="n">
        <v>45679</v>
      </c>
      <c r="B11" s="3" t="inlineStr">
        <is>
          <t>INV-2025-1010</t>
        </is>
      </c>
      <c r="C11" s="3" t="inlineStr">
        <is>
          <t>Anjali Menon</t>
        </is>
      </c>
      <c r="D11" s="3" t="inlineStr">
        <is>
          <t>AC Service</t>
        </is>
      </c>
      <c r="E11" s="3" t="inlineStr">
        <is>
          <t>Apartment Bulk</t>
        </is>
      </c>
      <c r="F11" s="3" t="inlineStr">
        <is>
          <t>Green Valley Apartments</t>
        </is>
      </c>
      <c r="G11" s="9" t="n">
        <v>123051</v>
      </c>
      <c r="H11" s="10" t="n">
        <v>0</v>
      </c>
      <c r="I11" s="9">
        <f>G11*H11</f>
        <v/>
      </c>
      <c r="J11" s="9">
        <f>G11-I11</f>
        <v/>
      </c>
      <c r="K11" s="10" t="n">
        <v>0.18</v>
      </c>
      <c r="L11" s="9">
        <f>J11*K11</f>
        <v/>
      </c>
      <c r="M11" s="9">
        <f>J11+L11</f>
        <v/>
      </c>
      <c r="N11" s="3" t="inlineStr">
        <is>
          <t>Card</t>
        </is>
      </c>
      <c r="O11" s="3" t="inlineStr">
        <is>
          <t>Received</t>
        </is>
      </c>
      <c r="P11" s="3" t="n"/>
    </row>
    <row r="12">
      <c r="A12" s="4" t="n">
        <v>45662</v>
      </c>
      <c r="B12" s="5" t="inlineStr">
        <is>
          <t>INV-2025-1011</t>
        </is>
      </c>
      <c r="C12" s="5" t="inlineStr">
        <is>
          <t>Suresh Rao</t>
        </is>
      </c>
      <c r="D12" s="5" t="inlineStr">
        <is>
          <t>AC Service</t>
        </is>
      </c>
      <c r="E12" s="5" t="inlineStr">
        <is>
          <t>Individual</t>
        </is>
      </c>
      <c r="F12" s="5" t="inlineStr"/>
      <c r="G12" s="6" t="n">
        <v>2878</v>
      </c>
      <c r="H12" s="7" t="n">
        <v>0.1</v>
      </c>
      <c r="I12" s="6">
        <f>G12*H12</f>
        <v/>
      </c>
      <c r="J12" s="6">
        <f>G12-I12</f>
        <v/>
      </c>
      <c r="K12" s="7" t="n">
        <v>0.18</v>
      </c>
      <c r="L12" s="6">
        <f>J12*K12</f>
        <v/>
      </c>
      <c r="M12" s="6">
        <f>J12+L12</f>
        <v/>
      </c>
      <c r="N12" s="5" t="inlineStr">
        <is>
          <t>UPI</t>
        </is>
      </c>
      <c r="O12" s="5" t="inlineStr">
        <is>
          <t>Received</t>
        </is>
      </c>
      <c r="P12" s="5" t="n"/>
    </row>
    <row r="13">
      <c r="A13" s="8" t="n">
        <v>45679</v>
      </c>
      <c r="B13" s="3" t="inlineStr">
        <is>
          <t>INV-2025-1012</t>
        </is>
      </c>
      <c r="C13" s="3" t="inlineStr">
        <is>
          <t>Lakshmi Pillai</t>
        </is>
      </c>
      <c r="D13" s="3" t="inlineStr">
        <is>
          <t>Painting</t>
        </is>
      </c>
      <c r="E13" s="3" t="inlineStr">
        <is>
          <t>Individual</t>
        </is>
      </c>
      <c r="F13" s="3" t="inlineStr"/>
      <c r="G13" s="9" t="n">
        <v>8288</v>
      </c>
      <c r="H13" s="10" t="n">
        <v>0.05</v>
      </c>
      <c r="I13" s="9">
        <f>G13*H13</f>
        <v/>
      </c>
      <c r="J13" s="9">
        <f>G13-I13</f>
        <v/>
      </c>
      <c r="K13" s="10" t="n">
        <v>0.18</v>
      </c>
      <c r="L13" s="9">
        <f>J13*K13</f>
        <v/>
      </c>
      <c r="M13" s="9">
        <f>J13+L13</f>
        <v/>
      </c>
      <c r="N13" s="3" t="inlineStr">
        <is>
          <t>Card</t>
        </is>
      </c>
      <c r="O13" s="3" t="inlineStr">
        <is>
          <t>Pending</t>
        </is>
      </c>
      <c r="P13" s="3" t="n"/>
    </row>
    <row r="14">
      <c r="A14" s="4" t="n">
        <v>45678</v>
      </c>
      <c r="B14" s="5" t="inlineStr">
        <is>
          <t>INV-2025-1013</t>
        </is>
      </c>
      <c r="C14" s="5" t="inlineStr">
        <is>
          <t>Arun Krishnan</t>
        </is>
      </c>
      <c r="D14" s="5" t="inlineStr">
        <is>
          <t>Deep Cleaning</t>
        </is>
      </c>
      <c r="E14" s="5" t="inlineStr">
        <is>
          <t>Individual</t>
        </is>
      </c>
      <c r="F14" s="5" t="inlineStr"/>
      <c r="G14" s="6" t="n">
        <v>2403</v>
      </c>
      <c r="H14" s="7" t="n">
        <v>0</v>
      </c>
      <c r="I14" s="6">
        <f>G14*H14</f>
        <v/>
      </c>
      <c r="J14" s="6">
        <f>G14-I14</f>
        <v/>
      </c>
      <c r="K14" s="7" t="n">
        <v>0.18</v>
      </c>
      <c r="L14" s="6">
        <f>J14*K14</f>
        <v/>
      </c>
      <c r="M14" s="6">
        <f>J14+L14</f>
        <v/>
      </c>
      <c r="N14" s="5" t="inlineStr">
        <is>
          <t>Bank Transfer</t>
        </is>
      </c>
      <c r="O14" s="5" t="inlineStr">
        <is>
          <t>Pending</t>
        </is>
      </c>
      <c r="P14" s="5" t="n"/>
    </row>
    <row r="15">
      <c r="A15" s="8" t="n">
        <v>45676</v>
      </c>
      <c r="B15" s="3" t="inlineStr">
        <is>
          <t>INV-2025-1014</t>
        </is>
      </c>
      <c r="C15" s="3" t="inlineStr">
        <is>
          <t>Kavitha Srinivasan</t>
        </is>
      </c>
      <c r="D15" s="3" t="inlineStr">
        <is>
          <t>Carpentry</t>
        </is>
      </c>
      <c r="E15" s="3" t="inlineStr">
        <is>
          <t>Individual</t>
        </is>
      </c>
      <c r="F15" s="3" t="inlineStr"/>
      <c r="G15" s="9" t="n">
        <v>21281</v>
      </c>
      <c r="H15" s="10" t="n">
        <v>0.05</v>
      </c>
      <c r="I15" s="9">
        <f>G15*H15</f>
        <v/>
      </c>
      <c r="J15" s="9">
        <f>G15-I15</f>
        <v/>
      </c>
      <c r="K15" s="10" t="n">
        <v>0.18</v>
      </c>
      <c r="L15" s="9">
        <f>J15*K15</f>
        <v/>
      </c>
      <c r="M15" s="9">
        <f>J15+L15</f>
        <v/>
      </c>
      <c r="N15" s="3" t="inlineStr">
        <is>
          <t>Cash</t>
        </is>
      </c>
      <c r="O15" s="3" t="inlineStr">
        <is>
          <t>Pending</t>
        </is>
      </c>
      <c r="P15" s="3" t="n"/>
    </row>
    <row r="16">
      <c r="A16" s="4" t="n">
        <v>45685</v>
      </c>
      <c r="B16" s="5" t="inlineStr">
        <is>
          <t>INV-2025-1015</t>
        </is>
      </c>
      <c r="C16" s="5" t="inlineStr">
        <is>
          <t>Manoj Das</t>
        </is>
      </c>
      <c r="D16" s="5" t="inlineStr">
        <is>
          <t>Regular Cleaning</t>
        </is>
      </c>
      <c r="E16" s="5" t="inlineStr">
        <is>
          <t>Commercial</t>
        </is>
      </c>
      <c r="F16" s="5" t="inlineStr">
        <is>
          <t>Tech Park</t>
        </is>
      </c>
      <c r="G16" s="6" t="n">
        <v>119592</v>
      </c>
      <c r="H16" s="7" t="n">
        <v>0</v>
      </c>
      <c r="I16" s="6">
        <f>G16*H16</f>
        <v/>
      </c>
      <c r="J16" s="6">
        <f>G16-I16</f>
        <v/>
      </c>
      <c r="K16" s="7" t="n">
        <v>0.18</v>
      </c>
      <c r="L16" s="6">
        <f>J16*K16</f>
        <v/>
      </c>
      <c r="M16" s="6">
        <f>J16+L16</f>
        <v/>
      </c>
      <c r="N16" s="5" t="inlineStr">
        <is>
          <t>Cash</t>
        </is>
      </c>
      <c r="O16" s="5" t="inlineStr">
        <is>
          <t>Pending</t>
        </is>
      </c>
      <c r="P16" s="5" t="n"/>
    </row>
  </sheetData>
  <dataValidations count="6">
    <dataValidation sqref="D2:D1000" showDropDown="0" showInputMessage="0" showErrorMessage="0" allowBlank="1" type="list">
      <formula1>"Deep Cleaning,Regular Cleaning,Pest Control,Painting,Plumbing,Electrical,Carpentry,AC Service"</formula1>
    </dataValidation>
    <dataValidation sqref="E2:E1000" showDropDown="0" showInputMessage="0" showErrorMessage="0" allowBlank="1" type="list">
      <formula1>"Individual,Apartment Bulk,Commercial"</formula1>
    </dataValidation>
    <dataValidation sqref="N2:N1000" showDropDown="0" showInputMessage="0" showErrorMessage="0" allowBlank="1" type="list">
      <formula1>"Cash,UPI,Bank Transfer,Card"</formula1>
    </dataValidation>
    <dataValidation sqref="O2:O1000" showDropDown="0" showInputMessage="0" showErrorMessage="0" allowBlank="1" type="list">
      <formula1>"Received,Pending"</formula1>
    </dataValidation>
    <dataValidation sqref="K2:K1000" showDropDown="0" showInputMessage="0" showErrorMessage="0" allowBlank="1" type="list">
      <formula1>"0%,5%,12%,18%"</formula1>
    </dataValidation>
    <dataValidation sqref="H2:H1000" showDropDown="0" showInputMessage="0" showErrorMessage="0" allowBlank="1" type="list">
      <formula1>"0%,5%,10%,15%,20%"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Date</t>
        </is>
      </c>
      <c r="B1" s="2" t="inlineStr">
        <is>
          <t>Expense ID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Vendor/Payee</t>
        </is>
      </c>
      <c r="F1" s="2" t="inlineStr">
        <is>
          <t>Base Amount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Amount (₹)</t>
        </is>
      </c>
      <c r="J1" s="2" t="inlineStr">
        <is>
          <t>Payment Mode</t>
        </is>
      </c>
      <c r="K1" s="2" t="inlineStr">
        <is>
          <t>Payment Status</t>
        </is>
      </c>
      <c r="L1" s="2" t="inlineStr">
        <is>
          <t>Notes</t>
        </is>
      </c>
    </row>
    <row r="2">
      <c r="A2" s="4" t="n">
        <v>45665</v>
      </c>
      <c r="B2" s="5" t="inlineStr">
        <is>
          <t>EXP-2025-101</t>
        </is>
      </c>
      <c r="C2" s="5" t="inlineStr">
        <is>
          <t>Miscellaneous</t>
        </is>
      </c>
      <c r="D2" s="5" t="inlineStr">
        <is>
          <t>Misc Purchase</t>
        </is>
      </c>
      <c r="E2" s="5" t="inlineStr">
        <is>
          <t>City Fuel Station</t>
        </is>
      </c>
      <c r="F2" s="6" t="n">
        <v>3173</v>
      </c>
      <c r="G2" s="7" t="n">
        <v>0.18</v>
      </c>
      <c r="H2" s="6">
        <f>F2*G2</f>
        <v/>
      </c>
      <c r="I2" s="6">
        <f>F2+H2</f>
        <v/>
      </c>
      <c r="J2" s="5" t="inlineStr">
        <is>
          <t>Card</t>
        </is>
      </c>
      <c r="K2" s="5" t="inlineStr">
        <is>
          <t>Pending</t>
        </is>
      </c>
      <c r="L2" s="5" t="n"/>
    </row>
    <row r="3">
      <c r="A3" s="8" t="n">
        <v>45662</v>
      </c>
      <c r="B3" s="3" t="inlineStr">
        <is>
          <t>EXP-2025-102</t>
        </is>
      </c>
      <c r="C3" s="3" t="inlineStr">
        <is>
          <t>Miscellaneous</t>
        </is>
      </c>
      <c r="D3" s="3" t="inlineStr">
        <is>
          <t>Office Supplies</t>
        </is>
      </c>
      <c r="E3" s="3" t="inlineStr">
        <is>
          <t>Google Ads</t>
        </is>
      </c>
      <c r="F3" s="9" t="n">
        <v>920</v>
      </c>
      <c r="G3" s="10" t="n">
        <v>0.18</v>
      </c>
      <c r="H3" s="9">
        <f>F3*G3</f>
        <v/>
      </c>
      <c r="I3" s="9">
        <f>F3+H3</f>
        <v/>
      </c>
      <c r="J3" s="3" t="inlineStr">
        <is>
          <t>Cash</t>
        </is>
      </c>
      <c r="K3" s="3" t="inlineStr">
        <is>
          <t>Pending</t>
        </is>
      </c>
      <c r="L3" s="3" t="n"/>
    </row>
    <row r="4">
      <c r="A4" s="4" t="n">
        <v>45680</v>
      </c>
      <c r="B4" s="5" t="inlineStr">
        <is>
          <t>EXP-2025-103</t>
        </is>
      </c>
      <c r="C4" s="5" t="inlineStr">
        <is>
          <t>Travel &amp; Fuel</t>
        </is>
      </c>
      <c r="D4" s="5" t="inlineStr">
        <is>
          <t>Petrol/Diesel</t>
        </is>
      </c>
      <c r="E4" s="5" t="inlineStr">
        <is>
          <t>City Fuel Station</t>
        </is>
      </c>
      <c r="F4" s="6" t="n">
        <v>761</v>
      </c>
      <c r="G4" s="7" t="n">
        <v>0.18</v>
      </c>
      <c r="H4" s="6">
        <f>F4*G4</f>
        <v/>
      </c>
      <c r="I4" s="6">
        <f>F4+H4</f>
        <v/>
      </c>
      <c r="J4" s="5" t="inlineStr">
        <is>
          <t>Cash</t>
        </is>
      </c>
      <c r="K4" s="5" t="inlineStr">
        <is>
          <t>Pending</t>
        </is>
      </c>
      <c r="L4" s="5" t="n"/>
    </row>
    <row r="5">
      <c r="A5" s="8" t="n">
        <v>45671</v>
      </c>
      <c r="B5" s="3" t="inlineStr">
        <is>
          <t>EXP-2025-104</t>
        </is>
      </c>
      <c r="C5" s="3" t="inlineStr">
        <is>
          <t>Vendor Payment</t>
        </is>
      </c>
      <c r="D5" s="3" t="inlineStr">
        <is>
          <t>Misc Purchase</t>
        </is>
      </c>
      <c r="E5" s="3" t="inlineStr">
        <is>
          <t>Facebook Ads</t>
        </is>
      </c>
      <c r="F5" s="9" t="n">
        <v>1828</v>
      </c>
      <c r="G5" s="10" t="n">
        <v>0.18</v>
      </c>
      <c r="H5" s="9">
        <f>F5*G5</f>
        <v/>
      </c>
      <c r="I5" s="9">
        <f>F5+H5</f>
        <v/>
      </c>
      <c r="J5" s="3" t="inlineStr">
        <is>
          <t>UPI</t>
        </is>
      </c>
      <c r="K5" s="3" t="inlineStr">
        <is>
          <t>Pending</t>
        </is>
      </c>
      <c r="L5" s="3" t="n"/>
    </row>
    <row r="6">
      <c r="A6" s="4" t="n">
        <v>45680</v>
      </c>
      <c r="B6" s="5" t="inlineStr">
        <is>
          <t>EXP-2025-105</t>
        </is>
      </c>
      <c r="C6" s="5" t="inlineStr">
        <is>
          <t>Travel &amp; Fuel</t>
        </is>
      </c>
      <c r="D6" s="5" t="inlineStr">
        <is>
          <t>Petrol/Diesel</t>
        </is>
      </c>
      <c r="E6" s="5" t="inlineStr">
        <is>
          <t>City Fuel Station</t>
        </is>
      </c>
      <c r="F6" s="6" t="n">
        <v>2442</v>
      </c>
      <c r="G6" s="7" t="n">
        <v>0.18</v>
      </c>
      <c r="H6" s="6">
        <f>F6*G6</f>
        <v/>
      </c>
      <c r="I6" s="6">
        <f>F6+H6</f>
        <v/>
      </c>
      <c r="J6" s="5" t="inlineStr">
        <is>
          <t>Cash</t>
        </is>
      </c>
      <c r="K6" s="5" t="inlineStr">
        <is>
          <t>Received</t>
        </is>
      </c>
      <c r="L6" s="5" t="n"/>
    </row>
    <row r="7">
      <c r="A7" s="8" t="n">
        <v>45685</v>
      </c>
      <c r="B7" s="3" t="inlineStr">
        <is>
          <t>EXP-2025-106</t>
        </is>
      </c>
      <c r="C7" s="3" t="inlineStr">
        <is>
          <t>Travel &amp; Fuel</t>
        </is>
      </c>
      <c r="D7" s="3" t="inlineStr">
        <is>
          <t>Petrol/Diesel</t>
        </is>
      </c>
      <c r="E7" s="3" t="inlineStr">
        <is>
          <t>City Fuel Station</t>
        </is>
      </c>
      <c r="F7" s="9" t="n">
        <v>631</v>
      </c>
      <c r="G7" s="10" t="n">
        <v>0.18</v>
      </c>
      <c r="H7" s="9">
        <f>F7*G7</f>
        <v/>
      </c>
      <c r="I7" s="9">
        <f>F7+H7</f>
        <v/>
      </c>
      <c r="J7" s="3" t="inlineStr">
        <is>
          <t>Cash</t>
        </is>
      </c>
      <c r="K7" s="3" t="inlineStr">
        <is>
          <t>Pending</t>
        </is>
      </c>
      <c r="L7" s="3" t="n"/>
    </row>
    <row r="8">
      <c r="A8" s="4" t="n">
        <v>45670</v>
      </c>
      <c r="B8" s="5" t="inlineStr">
        <is>
          <t>EXP-2025-107</t>
        </is>
      </c>
      <c r="C8" s="5" t="inlineStr">
        <is>
          <t>Vendor Payment</t>
        </is>
      </c>
      <c r="D8" s="5" t="inlineStr">
        <is>
          <t>Utility Bill</t>
        </is>
      </c>
      <c r="E8" s="5" t="inlineStr">
        <is>
          <t>City Fuel Station</t>
        </is>
      </c>
      <c r="F8" s="6" t="n">
        <v>4177</v>
      </c>
      <c r="G8" s="7" t="n">
        <v>0.18</v>
      </c>
      <c r="H8" s="6">
        <f>F8*G8</f>
        <v/>
      </c>
      <c r="I8" s="6">
        <f>F8+H8</f>
        <v/>
      </c>
      <c r="J8" s="5" t="inlineStr">
        <is>
          <t>Cash</t>
        </is>
      </c>
      <c r="K8" s="5" t="inlineStr">
        <is>
          <t>Pending</t>
        </is>
      </c>
      <c r="L8" s="5" t="n"/>
    </row>
    <row r="9">
      <c r="A9" s="8" t="n">
        <v>45674</v>
      </c>
      <c r="B9" s="3" t="inlineStr">
        <is>
          <t>EXP-2025-108</t>
        </is>
      </c>
      <c r="C9" s="3" t="inlineStr">
        <is>
          <t>Travel &amp; Fuel</t>
        </is>
      </c>
      <c r="D9" s="3" t="inlineStr">
        <is>
          <t>Petrol/Diesel</t>
        </is>
      </c>
      <c r="E9" s="3" t="inlineStr">
        <is>
          <t>City Fuel Station</t>
        </is>
      </c>
      <c r="F9" s="9" t="n">
        <v>1549</v>
      </c>
      <c r="G9" s="10" t="n">
        <v>0.18</v>
      </c>
      <c r="H9" s="9">
        <f>F9*G9</f>
        <v/>
      </c>
      <c r="I9" s="9">
        <f>F9+H9</f>
        <v/>
      </c>
      <c r="J9" s="3" t="inlineStr">
        <is>
          <t>Bank Transfer</t>
        </is>
      </c>
      <c r="K9" s="3" t="inlineStr">
        <is>
          <t>Received</t>
        </is>
      </c>
      <c r="L9" s="3" t="n"/>
    </row>
    <row r="10">
      <c r="A10" s="4" t="n">
        <v>45670</v>
      </c>
      <c r="B10" s="5" t="inlineStr">
        <is>
          <t>EXP-2025-109</t>
        </is>
      </c>
      <c r="C10" s="5" t="inlineStr">
        <is>
          <t>Office Expenses</t>
        </is>
      </c>
      <c r="D10" s="5" t="inlineStr">
        <is>
          <t>Misc Purchase</t>
        </is>
      </c>
      <c r="E10" s="5" t="inlineStr">
        <is>
          <t>City Fuel Station</t>
        </is>
      </c>
      <c r="F10" s="6" t="n">
        <v>3235</v>
      </c>
      <c r="G10" s="7" t="n">
        <v>0.18</v>
      </c>
      <c r="H10" s="6">
        <f>F10*G10</f>
        <v/>
      </c>
      <c r="I10" s="6">
        <f>F10+H10</f>
        <v/>
      </c>
      <c r="J10" s="5" t="inlineStr">
        <is>
          <t>Cash</t>
        </is>
      </c>
      <c r="K10" s="5" t="inlineStr">
        <is>
          <t>Received</t>
        </is>
      </c>
      <c r="L10" s="5" t="n"/>
    </row>
    <row r="11">
      <c r="A11" s="8" t="n">
        <v>45684</v>
      </c>
      <c r="B11" s="3" t="inlineStr">
        <is>
          <t>EXP-2025-110</t>
        </is>
      </c>
      <c r="C11" s="3" t="inlineStr">
        <is>
          <t>Miscellaneous</t>
        </is>
      </c>
      <c r="D11" s="3" t="inlineStr">
        <is>
          <t>Misc Purchase</t>
        </is>
      </c>
      <c r="E11" s="3" t="inlineStr">
        <is>
          <t>Facebook Ads</t>
        </is>
      </c>
      <c r="F11" s="9" t="n">
        <v>1750</v>
      </c>
      <c r="G11" s="10" t="n">
        <v>0.18</v>
      </c>
      <c r="H11" s="9">
        <f>F11*G11</f>
        <v/>
      </c>
      <c r="I11" s="9">
        <f>F11+H11</f>
        <v/>
      </c>
      <c r="J11" s="3" t="inlineStr">
        <is>
          <t>Card</t>
        </is>
      </c>
      <c r="K11" s="3" t="inlineStr">
        <is>
          <t>Pending</t>
        </is>
      </c>
      <c r="L11" s="3" t="n"/>
    </row>
    <row r="12">
      <c r="A12" s="4" t="n">
        <v>45682</v>
      </c>
      <c r="B12" s="5" t="inlineStr">
        <is>
          <t>EXP-2025-111</t>
        </is>
      </c>
      <c r="C12" s="5" t="inlineStr">
        <is>
          <t>Marketing</t>
        </is>
      </c>
      <c r="D12" s="5" t="inlineStr">
        <is>
          <t>Facebook Ads</t>
        </is>
      </c>
      <c r="E12" s="5" t="inlineStr">
        <is>
          <t>Facebook Ads</t>
        </is>
      </c>
      <c r="F12" s="6" t="n">
        <v>11608</v>
      </c>
      <c r="G12" s="7" t="n">
        <v>0.18</v>
      </c>
      <c r="H12" s="6">
        <f>F12*G12</f>
        <v/>
      </c>
      <c r="I12" s="6">
        <f>F12+H12</f>
        <v/>
      </c>
      <c r="J12" s="5" t="inlineStr">
        <is>
          <t>Card</t>
        </is>
      </c>
      <c r="K12" s="5" t="inlineStr">
        <is>
          <t>Pending</t>
        </is>
      </c>
      <c r="L12" s="5" t="n"/>
    </row>
    <row r="13">
      <c r="A13" s="8" t="n">
        <v>45674</v>
      </c>
      <c r="B13" s="3" t="inlineStr">
        <is>
          <t>EXP-2025-112</t>
        </is>
      </c>
      <c r="C13" s="3" t="inlineStr">
        <is>
          <t>Miscellaneous</t>
        </is>
      </c>
      <c r="D13" s="3" t="inlineStr">
        <is>
          <t>Misc Purchase</t>
        </is>
      </c>
      <c r="E13" s="3" t="inlineStr">
        <is>
          <t>Office Depot</t>
        </is>
      </c>
      <c r="F13" s="9" t="n">
        <v>2018</v>
      </c>
      <c r="G13" s="10" t="n">
        <v>0.18</v>
      </c>
      <c r="H13" s="9">
        <f>F13*G13</f>
        <v/>
      </c>
      <c r="I13" s="9">
        <f>F13+H13</f>
        <v/>
      </c>
      <c r="J13" s="3" t="inlineStr">
        <is>
          <t>Cash</t>
        </is>
      </c>
      <c r="K13" s="3" t="inlineStr">
        <is>
          <t>Received</t>
        </is>
      </c>
      <c r="L13" s="3" t="n"/>
    </row>
    <row r="14">
      <c r="A14" s="4" t="n">
        <v>45658</v>
      </c>
      <c r="B14" s="5" t="inlineStr">
        <is>
          <t>EXP-2025-113</t>
        </is>
      </c>
      <c r="C14" s="5" t="inlineStr">
        <is>
          <t>Office Expenses</t>
        </is>
      </c>
      <c r="D14" s="5" t="inlineStr">
        <is>
          <t>Utility Bill</t>
        </is>
      </c>
      <c r="E14" s="5" t="inlineStr">
        <is>
          <t>Facebook Ads</t>
        </is>
      </c>
      <c r="F14" s="6" t="n">
        <v>3339</v>
      </c>
      <c r="G14" s="7" t="n">
        <v>0.18</v>
      </c>
      <c r="H14" s="6">
        <f>F14*G14</f>
        <v/>
      </c>
      <c r="I14" s="6">
        <f>F14+H14</f>
        <v/>
      </c>
      <c r="J14" s="5" t="inlineStr">
        <is>
          <t>Bank Transfer</t>
        </is>
      </c>
      <c r="K14" s="5" t="inlineStr">
        <is>
          <t>Pending</t>
        </is>
      </c>
      <c r="L14" s="5" t="n"/>
    </row>
    <row r="15">
      <c r="A15" s="8" t="n">
        <v>45671</v>
      </c>
      <c r="B15" s="3" t="inlineStr">
        <is>
          <t>EXP-2025-114</t>
        </is>
      </c>
      <c r="C15" s="3" t="inlineStr">
        <is>
          <t>Miscellaneous</t>
        </is>
      </c>
      <c r="D15" s="3" t="inlineStr">
        <is>
          <t>Misc Purchase</t>
        </is>
      </c>
      <c r="E15" s="3" t="inlineStr">
        <is>
          <t>Facebook Ads</t>
        </is>
      </c>
      <c r="F15" s="9" t="n">
        <v>604</v>
      </c>
      <c r="G15" s="10" t="n">
        <v>0.18</v>
      </c>
      <c r="H15" s="9">
        <f>F15*G15</f>
        <v/>
      </c>
      <c r="I15" s="9">
        <f>F15+H15</f>
        <v/>
      </c>
      <c r="J15" s="3" t="inlineStr">
        <is>
          <t>UPI</t>
        </is>
      </c>
      <c r="K15" s="3" t="inlineStr">
        <is>
          <t>Received</t>
        </is>
      </c>
      <c r="L15" s="3" t="n"/>
    </row>
    <row r="16">
      <c r="A16" s="4" t="n">
        <v>45675</v>
      </c>
      <c r="B16" s="5" t="inlineStr">
        <is>
          <t>EXP-2025-115</t>
        </is>
      </c>
      <c r="C16" s="5" t="inlineStr">
        <is>
          <t>Office Expenses</t>
        </is>
      </c>
      <c r="D16" s="5" t="inlineStr">
        <is>
          <t>Office Supplies</t>
        </is>
      </c>
      <c r="E16" s="5" t="inlineStr">
        <is>
          <t>Google Ads</t>
        </is>
      </c>
      <c r="F16" s="6" t="n">
        <v>2451</v>
      </c>
      <c r="G16" s="7" t="n">
        <v>0.18</v>
      </c>
      <c r="H16" s="6">
        <f>F16*G16</f>
        <v/>
      </c>
      <c r="I16" s="6">
        <f>F16+H16</f>
        <v/>
      </c>
      <c r="J16" s="5" t="inlineStr">
        <is>
          <t>Card</t>
        </is>
      </c>
      <c r="K16" s="5" t="inlineStr">
        <is>
          <t>Pending</t>
        </is>
      </c>
      <c r="L16" s="5" t="n"/>
    </row>
  </sheetData>
  <dataValidations count="4">
    <dataValidation sqref="C2:C1000" showDropDown="0" showInputMessage="0" showErrorMessage="0" allowBlank="1" type="list">
      <formula1>"Vendor Payment,Travel &amp; Fuel,Marketing,Office Expenses,Miscellaneous"</formula1>
    </dataValidation>
    <dataValidation sqref="J2:J1000" showDropDown="0" showInputMessage="0" showErrorMessage="0" allowBlank="1" type="list">
      <formula1>"Cash,UPI,Bank Transfer,Card"</formula1>
    </dataValidation>
    <dataValidation sqref="K2:K1000" showDropDown="0" showInputMessage="0" showErrorMessage="0" allowBlank="1" type="list">
      <formula1>"Received,Pending"</formula1>
    </dataValidation>
    <dataValidation sqref="G2:G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Month</t>
        </is>
      </c>
      <c r="B1" s="2" t="inlineStr">
        <is>
          <t>Employee ID</t>
        </is>
      </c>
      <c r="C1" s="2" t="inlineStr">
        <is>
          <t>Employee Name</t>
        </is>
      </c>
      <c r="D1" s="2" t="inlineStr">
        <is>
          <t>Designation</t>
        </is>
      </c>
      <c r="E1" s="2" t="inlineStr">
        <is>
          <t>Department</t>
        </is>
      </c>
      <c r="F1" s="2" t="inlineStr">
        <is>
          <t>Basic Salary (₹)</t>
        </is>
      </c>
      <c r="G1" s="2" t="inlineStr">
        <is>
          <t>HRA (₹)</t>
        </is>
      </c>
      <c r="H1" s="2" t="inlineStr">
        <is>
          <t>Other Allowances (₹)</t>
        </is>
      </c>
      <c r="I1" s="2" t="inlineStr">
        <is>
          <t>Gross Salary (₹)</t>
        </is>
      </c>
      <c r="J1" s="2" t="inlineStr">
        <is>
          <t>PF Deduction (₹)</t>
        </is>
      </c>
      <c r="K1" s="2" t="inlineStr">
        <is>
          <t>ESI Deduction (₹)</t>
        </is>
      </c>
      <c r="L1" s="2" t="inlineStr">
        <is>
          <t>Other Deductions (₹)</t>
        </is>
      </c>
      <c r="M1" s="2" t="inlineStr">
        <is>
          <t>Total Deductions (₹)</t>
        </is>
      </c>
      <c r="N1" s="2" t="inlineStr">
        <is>
          <t>Net Salary (₹)</t>
        </is>
      </c>
      <c r="O1" s="2" t="inlineStr">
        <is>
          <t>Payment Date</t>
        </is>
      </c>
      <c r="P1" s="2" t="inlineStr">
        <is>
          <t>Payment Mode</t>
        </is>
      </c>
      <c r="Q1" s="2" t="inlineStr">
        <is>
          <t>Payment Status</t>
        </is>
      </c>
      <c r="R1" s="2" t="inlineStr">
        <is>
          <t>Notes</t>
        </is>
      </c>
    </row>
    <row r="2">
      <c r="A2" s="5" t="inlineStr">
        <is>
          <t>January 2025</t>
        </is>
      </c>
      <c r="B2" s="5" t="inlineStr">
        <is>
          <t>EMP001</t>
        </is>
      </c>
      <c r="C2" s="5" t="inlineStr">
        <is>
          <t>Ramesh Kumar</t>
        </is>
      </c>
      <c r="D2" s="5" t="inlineStr">
        <is>
          <t>Driver</t>
        </is>
      </c>
      <c r="E2" s="5" t="inlineStr">
        <is>
          <t>Operations</t>
        </is>
      </c>
      <c r="F2" s="6" t="n">
        <v>18000</v>
      </c>
      <c r="G2" s="6" t="n">
        <v>0</v>
      </c>
      <c r="H2" s="6" t="n">
        <v>0</v>
      </c>
      <c r="I2" s="6">
        <f>F2+G2+H2</f>
        <v/>
      </c>
      <c r="J2" s="6" t="n">
        <v>0</v>
      </c>
      <c r="K2" s="6" t="n">
        <v>0</v>
      </c>
      <c r="L2" s="6" t="n">
        <v>0</v>
      </c>
      <c r="M2" s="6">
        <f>J2+K2+L2</f>
        <v/>
      </c>
      <c r="N2" s="6">
        <f>I2-M2</f>
        <v/>
      </c>
      <c r="O2" s="4" t="n">
        <v>45688</v>
      </c>
      <c r="P2" s="5" t="inlineStr">
        <is>
          <t>Bank Transfer</t>
        </is>
      </c>
      <c r="Q2" s="5" t="inlineStr">
        <is>
          <t>Paid</t>
        </is>
      </c>
      <c r="R2" s="5" t="n"/>
    </row>
    <row r="3">
      <c r="A3" s="3" t="inlineStr">
        <is>
          <t>January 2025</t>
        </is>
      </c>
      <c r="B3" s="3" t="inlineStr">
        <is>
          <t>EMP002</t>
        </is>
      </c>
      <c r="C3" s="3" t="inlineStr">
        <is>
          <t>Suresh Nair</t>
        </is>
      </c>
      <c r="D3" s="3" t="inlineStr">
        <is>
          <t>Technician</t>
        </is>
      </c>
      <c r="E3" s="3" t="inlineStr">
        <is>
          <t>Operations</t>
        </is>
      </c>
      <c r="F3" s="9" t="n">
        <v>22000</v>
      </c>
      <c r="G3" s="9" t="n">
        <v>0</v>
      </c>
      <c r="H3" s="9" t="n">
        <v>0</v>
      </c>
      <c r="I3" s="9">
        <f>F3+G3+H3</f>
        <v/>
      </c>
      <c r="J3" s="9" t="n">
        <v>0</v>
      </c>
      <c r="K3" s="9" t="n">
        <v>0</v>
      </c>
      <c r="L3" s="9" t="n">
        <v>0</v>
      </c>
      <c r="M3" s="9">
        <f>J3+K3+L3</f>
        <v/>
      </c>
      <c r="N3" s="9">
        <f>I3-M3</f>
        <v/>
      </c>
      <c r="O3" s="8" t="n">
        <v>45688</v>
      </c>
      <c r="P3" s="3" t="inlineStr">
        <is>
          <t>Bank Transfer</t>
        </is>
      </c>
      <c r="Q3" s="3" t="inlineStr">
        <is>
          <t>Paid</t>
        </is>
      </c>
      <c r="R3" s="3" t="n"/>
    </row>
    <row r="4">
      <c r="A4" s="5" t="inlineStr">
        <is>
          <t>January 2025</t>
        </is>
      </c>
      <c r="B4" s="5" t="inlineStr">
        <is>
          <t>EMP003</t>
        </is>
      </c>
      <c r="C4" s="5" t="inlineStr">
        <is>
          <t>Anil Sharma</t>
        </is>
      </c>
      <c r="D4" s="5" t="inlineStr">
        <is>
          <t>Helper</t>
        </is>
      </c>
      <c r="E4" s="5" t="inlineStr">
        <is>
          <t>Operations</t>
        </is>
      </c>
      <c r="F4" s="6" t="n">
        <v>15000</v>
      </c>
      <c r="G4" s="6" t="n">
        <v>0</v>
      </c>
      <c r="H4" s="6" t="n">
        <v>0</v>
      </c>
      <c r="I4" s="6">
        <f>F4+G4+H4</f>
        <v/>
      </c>
      <c r="J4" s="6" t="n">
        <v>0</v>
      </c>
      <c r="K4" s="6" t="n">
        <v>0</v>
      </c>
      <c r="L4" s="6" t="n">
        <v>0</v>
      </c>
      <c r="M4" s="6">
        <f>J4+K4+L4</f>
        <v/>
      </c>
      <c r="N4" s="6">
        <f>I4-M4</f>
        <v/>
      </c>
      <c r="O4" s="4" t="n">
        <v>45688</v>
      </c>
      <c r="P4" s="5" t="inlineStr">
        <is>
          <t>Bank Transfer</t>
        </is>
      </c>
      <c r="Q4" s="5" t="inlineStr">
        <is>
          <t>Paid</t>
        </is>
      </c>
      <c r="R4" s="5" t="n"/>
    </row>
    <row r="5">
      <c r="A5" s="3" t="inlineStr">
        <is>
          <t>January 2025</t>
        </is>
      </c>
      <c r="B5" s="3" t="inlineStr">
        <is>
          <t>EMP004</t>
        </is>
      </c>
      <c r="C5" s="3" t="inlineStr">
        <is>
          <t>Priya Menon</t>
        </is>
      </c>
      <c r="D5" s="3" t="inlineStr">
        <is>
          <t>Supervisor</t>
        </is>
      </c>
      <c r="E5" s="3" t="inlineStr">
        <is>
          <t>Operations</t>
        </is>
      </c>
      <c r="F5" s="9" t="n">
        <v>28000</v>
      </c>
      <c r="G5" s="9" t="n">
        <v>0</v>
      </c>
      <c r="H5" s="9" t="n">
        <v>0</v>
      </c>
      <c r="I5" s="9">
        <f>F5+G5+H5</f>
        <v/>
      </c>
      <c r="J5" s="9" t="n">
        <v>0</v>
      </c>
      <c r="K5" s="9" t="n">
        <v>0</v>
      </c>
      <c r="L5" s="9" t="n">
        <v>0</v>
      </c>
      <c r="M5" s="9">
        <f>J5+K5+L5</f>
        <v/>
      </c>
      <c r="N5" s="9">
        <f>I5-M5</f>
        <v/>
      </c>
      <c r="O5" s="8" t="n">
        <v>45688</v>
      </c>
      <c r="P5" s="3" t="inlineStr">
        <is>
          <t>Bank Transfer</t>
        </is>
      </c>
      <c r="Q5" s="3" t="inlineStr">
        <is>
          <t>Paid</t>
        </is>
      </c>
      <c r="R5" s="3" t="n"/>
    </row>
    <row r="6">
      <c r="A6" s="5" t="inlineStr">
        <is>
          <t>January 2025</t>
        </is>
      </c>
      <c r="B6" s="5" t="inlineStr">
        <is>
          <t>EMP005</t>
        </is>
      </c>
      <c r="C6" s="5" t="inlineStr">
        <is>
          <t>Karthik Reddy</t>
        </is>
      </c>
      <c r="D6" s="5" t="inlineStr">
        <is>
          <t>Technician</t>
        </is>
      </c>
      <c r="E6" s="5" t="inlineStr">
        <is>
          <t>Operations</t>
        </is>
      </c>
      <c r="F6" s="6" t="n">
        <v>22000</v>
      </c>
      <c r="G6" s="6" t="n">
        <v>0</v>
      </c>
      <c r="H6" s="6" t="n">
        <v>0</v>
      </c>
      <c r="I6" s="6">
        <f>F6+G6+H6</f>
        <v/>
      </c>
      <c r="J6" s="6" t="n">
        <v>0</v>
      </c>
      <c r="K6" s="6" t="n">
        <v>0</v>
      </c>
      <c r="L6" s="6" t="n">
        <v>0</v>
      </c>
      <c r="M6" s="6">
        <f>J6+K6+L6</f>
        <v/>
      </c>
      <c r="N6" s="6">
        <f>I6-M6</f>
        <v/>
      </c>
      <c r="O6" s="4" t="n">
        <v>45688</v>
      </c>
      <c r="P6" s="5" t="inlineStr">
        <is>
          <t>Bank Transfer</t>
        </is>
      </c>
      <c r="Q6" s="5" t="inlineStr">
        <is>
          <t>Paid</t>
        </is>
      </c>
      <c r="R6" s="5" t="n"/>
    </row>
    <row r="7">
      <c r="A7" s="3" t="inlineStr">
        <is>
          <t>January 2025</t>
        </is>
      </c>
      <c r="B7" s="3" t="inlineStr">
        <is>
          <t>EMP006</t>
        </is>
      </c>
      <c r="C7" s="3" t="inlineStr">
        <is>
          <t>Lakshmi Iyer</t>
        </is>
      </c>
      <c r="D7" s="3" t="inlineStr">
        <is>
          <t>Admin</t>
        </is>
      </c>
      <c r="E7" s="3" t="inlineStr">
        <is>
          <t>Office</t>
        </is>
      </c>
      <c r="F7" s="9" t="n">
        <v>20000</v>
      </c>
      <c r="G7" s="9" t="n">
        <v>0</v>
      </c>
      <c r="H7" s="9" t="n">
        <v>0</v>
      </c>
      <c r="I7" s="9">
        <f>F7+G7+H7</f>
        <v/>
      </c>
      <c r="J7" s="9" t="n">
        <v>0</v>
      </c>
      <c r="K7" s="9" t="n">
        <v>0</v>
      </c>
      <c r="L7" s="9" t="n">
        <v>0</v>
      </c>
      <c r="M7" s="9">
        <f>J7+K7+L7</f>
        <v/>
      </c>
      <c r="N7" s="9">
        <f>I7-M7</f>
        <v/>
      </c>
      <c r="O7" s="8" t="n">
        <v>45688</v>
      </c>
      <c r="P7" s="3" t="inlineStr">
        <is>
          <t>Bank Transfer</t>
        </is>
      </c>
      <c r="Q7" s="3" t="inlineStr">
        <is>
          <t>Paid</t>
        </is>
      </c>
      <c r="R7" s="3" t="n"/>
    </row>
    <row r="8">
      <c r="A8" s="5" t="inlineStr">
        <is>
          <t>January 2025</t>
        </is>
      </c>
      <c r="B8" s="5" t="inlineStr">
        <is>
          <t>EMP007</t>
        </is>
      </c>
      <c r="C8" s="5" t="inlineStr">
        <is>
          <t>Vijay Das</t>
        </is>
      </c>
      <c r="D8" s="5" t="inlineStr">
        <is>
          <t>Helper</t>
        </is>
      </c>
      <c r="E8" s="5" t="inlineStr">
        <is>
          <t>Operations</t>
        </is>
      </c>
      <c r="F8" s="6" t="n">
        <v>15000</v>
      </c>
      <c r="G8" s="6" t="n">
        <v>0</v>
      </c>
      <c r="H8" s="6" t="n">
        <v>0</v>
      </c>
      <c r="I8" s="6">
        <f>F8+G8+H8</f>
        <v/>
      </c>
      <c r="J8" s="6" t="n">
        <v>0</v>
      </c>
      <c r="K8" s="6" t="n">
        <v>0</v>
      </c>
      <c r="L8" s="6" t="n">
        <v>0</v>
      </c>
      <c r="M8" s="6">
        <f>J8+K8+L8</f>
        <v/>
      </c>
      <c r="N8" s="6">
        <f>I8-M8</f>
        <v/>
      </c>
      <c r="O8" s="4" t="n">
        <v>45688</v>
      </c>
      <c r="P8" s="5" t="inlineStr">
        <is>
          <t>Bank Transfer</t>
        </is>
      </c>
      <c r="Q8" s="5" t="inlineStr">
        <is>
          <t>Paid</t>
        </is>
      </c>
      <c r="R8" s="5" t="n"/>
    </row>
    <row r="9">
      <c r="A9" s="3" t="inlineStr">
        <is>
          <t>January 2025</t>
        </is>
      </c>
      <c r="B9" s="3" t="inlineStr">
        <is>
          <t>EMP008</t>
        </is>
      </c>
      <c r="C9" s="3" t="inlineStr">
        <is>
          <t>Meena Pillai</t>
        </is>
      </c>
      <c r="D9" s="3" t="inlineStr">
        <is>
          <t>Accounts</t>
        </is>
      </c>
      <c r="E9" s="3" t="inlineStr">
        <is>
          <t>Office</t>
        </is>
      </c>
      <c r="F9" s="9" t="n">
        <v>25000</v>
      </c>
      <c r="G9" s="9" t="n">
        <v>0</v>
      </c>
      <c r="H9" s="9" t="n">
        <v>0</v>
      </c>
      <c r="I9" s="9">
        <f>F9+G9+H9</f>
        <v/>
      </c>
      <c r="J9" s="9" t="n">
        <v>0</v>
      </c>
      <c r="K9" s="9" t="n">
        <v>0</v>
      </c>
      <c r="L9" s="9" t="n">
        <v>0</v>
      </c>
      <c r="M9" s="9">
        <f>J9+K9+L9</f>
        <v/>
      </c>
      <c r="N9" s="9">
        <f>I9-M9</f>
        <v/>
      </c>
      <c r="O9" s="8" t="n">
        <v>45688</v>
      </c>
      <c r="P9" s="3" t="inlineStr">
        <is>
          <t>Bank Transfer</t>
        </is>
      </c>
      <c r="Q9" s="3" t="inlineStr">
        <is>
          <t>Paid</t>
        </is>
      </c>
      <c r="R9" s="3" t="n"/>
    </row>
  </sheetData>
  <dataValidations count="3">
    <dataValidation sqref="A2:A1000" showDropDown="0" showInputMessage="0" showErrorMessage="0" allowBlank="1" type="list">
      <formula1>"January 2025,February 2025,March 2025,April 2025,May 2025,June 2025,July 2025,August 2025,September 2025,October 2025,November 2025,December 2025"</formula1>
    </dataValidation>
    <dataValidation sqref="Q2:Q1000" showDropDown="0" showInputMessage="0" showErrorMessage="0" allowBlank="1" type="list">
      <formula1>"Paid,Pending,On Hold"</formula1>
    </dataValidation>
    <dataValidation sqref="P2:P1000" showDropDown="0" showInputMessage="0" showErrorMessage="0" allowBlank="1" type="list">
      <formula1>"Cash,UPI,Bank Transfer,Card"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25" customWidth="1" min="6" max="6"/>
    <col width="15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2" t="inlineStr">
        <is>
          <t>Date</t>
        </is>
      </c>
      <c r="B1" s="2" t="inlineStr">
        <is>
          <t>Payment ID</t>
        </is>
      </c>
      <c r="C1" s="2" t="inlineStr">
        <is>
          <t>Contractor Name</t>
        </is>
      </c>
      <c r="D1" s="2" t="inlineStr">
        <is>
          <t>Contractor PAN</t>
        </is>
      </c>
      <c r="E1" s="2" t="inlineStr">
        <is>
          <t>Service Type</t>
        </is>
      </c>
      <c r="F1" s="2" t="inlineStr">
        <is>
          <t>Project/Work Description</t>
        </is>
      </c>
      <c r="G1" s="2" t="inlineStr">
        <is>
          <t>Gross Amount (₹)</t>
        </is>
      </c>
      <c r="H1" s="2" t="inlineStr">
        <is>
          <t>TDS % (Sec 194C)</t>
        </is>
      </c>
      <c r="I1" s="2" t="inlineStr">
        <is>
          <t>TDS Amount (₹)</t>
        </is>
      </c>
      <c r="J1" s="2" t="inlineStr">
        <is>
          <t>Net Payable (₹)</t>
        </is>
      </c>
      <c r="K1" s="2" t="inlineStr">
        <is>
          <t>Payment Date</t>
        </is>
      </c>
      <c r="L1" s="2" t="inlineStr">
        <is>
          <t>Payment Mode</t>
        </is>
      </c>
      <c r="M1" s="2" t="inlineStr">
        <is>
          <t>Payment Status</t>
        </is>
      </c>
      <c r="N1" s="2" t="inlineStr">
        <is>
          <t>TDS Deposited</t>
        </is>
      </c>
      <c r="O1" s="2" t="inlineStr">
        <is>
          <t>Notes</t>
        </is>
      </c>
    </row>
    <row r="2">
      <c r="A2" s="4" t="n">
        <v>45673</v>
      </c>
      <c r="B2" s="5" t="inlineStr">
        <is>
          <t>CONT-2025-301</t>
        </is>
      </c>
      <c r="C2" s="5" t="inlineStr">
        <is>
          <t>Sharma Cleaning Services</t>
        </is>
      </c>
      <c r="D2" s="5" t="inlineStr">
        <is>
          <t>ABCPS1234A</t>
        </is>
      </c>
      <c r="E2" s="5" t="inlineStr">
        <is>
          <t>Deep Cleaning</t>
        </is>
      </c>
      <c r="F2" s="5" t="inlineStr">
        <is>
          <t>Green Valley Phase 1</t>
        </is>
      </c>
      <c r="G2" s="6" t="n">
        <v>45000</v>
      </c>
      <c r="H2" s="11" t="n">
        <v>0.02</v>
      </c>
      <c r="I2" s="6">
        <f>G2*H2</f>
        <v/>
      </c>
      <c r="J2" s="6">
        <f>G2-I2</f>
        <v/>
      </c>
      <c r="K2" s="4" t="n">
        <v>45664</v>
      </c>
      <c r="L2" s="5" t="inlineStr">
        <is>
          <t>Cheque</t>
        </is>
      </c>
      <c r="M2" s="5" t="inlineStr">
        <is>
          <t>Pending</t>
        </is>
      </c>
      <c r="N2" s="5" t="inlineStr">
        <is>
          <t>Yes</t>
        </is>
      </c>
      <c r="O2" s="5" t="n"/>
    </row>
    <row r="3">
      <c r="A3" s="8" t="n">
        <v>45686</v>
      </c>
      <c r="B3" s="3" t="inlineStr">
        <is>
          <t>CONT-2025-302</t>
        </is>
      </c>
      <c r="C3" s="3" t="inlineStr">
        <is>
          <t>Krishna Pest Control</t>
        </is>
      </c>
      <c r="D3" s="3" t="inlineStr">
        <is>
          <t>DEFPK5678B</t>
        </is>
      </c>
      <c r="E3" s="3" t="inlineStr">
        <is>
          <t>Pest Control</t>
        </is>
      </c>
      <c r="F3" s="3" t="inlineStr">
        <is>
          <t>Tech Park Building A</t>
        </is>
      </c>
      <c r="G3" s="9" t="n">
        <v>35000</v>
      </c>
      <c r="H3" s="12" t="n">
        <v>0.02</v>
      </c>
      <c r="I3" s="9">
        <f>G3*H3</f>
        <v/>
      </c>
      <c r="J3" s="9">
        <f>G3-I3</f>
        <v/>
      </c>
      <c r="K3" s="8" t="n">
        <v>45675</v>
      </c>
      <c r="L3" s="3" t="inlineStr">
        <is>
          <t>UPI</t>
        </is>
      </c>
      <c r="M3" s="3" t="inlineStr">
        <is>
          <t>Pending</t>
        </is>
      </c>
      <c r="N3" s="3" t="inlineStr">
        <is>
          <t>No</t>
        </is>
      </c>
      <c r="O3" s="3" t="n"/>
    </row>
    <row r="4">
      <c r="A4" s="4" t="n">
        <v>45670</v>
      </c>
      <c r="B4" s="5" t="inlineStr">
        <is>
          <t>CONT-2025-303</t>
        </is>
      </c>
      <c r="C4" s="5" t="inlineStr">
        <is>
          <t>Apex Painting Works</t>
        </is>
      </c>
      <c r="D4" s="5" t="inlineStr">
        <is>
          <t>GHIPA9012C</t>
        </is>
      </c>
      <c r="E4" s="5" t="inlineStr">
        <is>
          <t>Painting</t>
        </is>
      </c>
      <c r="F4" s="5" t="inlineStr">
        <is>
          <t>Residential Complex</t>
        </is>
      </c>
      <c r="G4" s="6" t="n">
        <v>85000</v>
      </c>
      <c r="H4" s="11" t="n">
        <v>0.02</v>
      </c>
      <c r="I4" s="6">
        <f>G4*H4</f>
        <v/>
      </c>
      <c r="J4" s="6">
        <f>G4-I4</f>
        <v/>
      </c>
      <c r="K4" s="4" t="n">
        <v>45681</v>
      </c>
      <c r="L4" s="5" t="inlineStr">
        <is>
          <t>Cheque</t>
        </is>
      </c>
      <c r="M4" s="5" t="inlineStr">
        <is>
          <t>Paid</t>
        </is>
      </c>
      <c r="N4" s="5" t="inlineStr">
        <is>
          <t>Yes</t>
        </is>
      </c>
      <c r="O4" s="5" t="n"/>
    </row>
    <row r="5">
      <c r="A5" s="8" t="n">
        <v>45686</v>
      </c>
      <c r="B5" s="3" t="inlineStr">
        <is>
          <t>CONT-2025-304</t>
        </is>
      </c>
      <c r="C5" s="3" t="inlineStr">
        <is>
          <t>City Plumbers</t>
        </is>
      </c>
      <c r="D5" s="3" t="inlineStr">
        <is>
          <t>JKLPC3456D</t>
        </is>
      </c>
      <c r="E5" s="3" t="inlineStr">
        <is>
          <t>Plumbing</t>
        </is>
      </c>
      <c r="F5" s="3" t="inlineStr">
        <is>
          <t>Apartment Maintenance</t>
        </is>
      </c>
      <c r="G5" s="9" t="n">
        <v>28000</v>
      </c>
      <c r="H5" s="12" t="n">
        <v>0.01</v>
      </c>
      <c r="I5" s="9">
        <f>G5*H5</f>
        <v/>
      </c>
      <c r="J5" s="9">
        <f>G5-I5</f>
        <v/>
      </c>
      <c r="K5" s="8" t="n">
        <v>45668</v>
      </c>
      <c r="L5" s="3" t="inlineStr">
        <is>
          <t>UPI</t>
        </is>
      </c>
      <c r="M5" s="3" t="inlineStr">
        <is>
          <t>Paid</t>
        </is>
      </c>
      <c r="N5" s="3" t="inlineStr">
        <is>
          <t>No</t>
        </is>
      </c>
      <c r="O5" s="3" t="n"/>
    </row>
    <row r="6">
      <c r="A6" s="4" t="n">
        <v>45658</v>
      </c>
      <c r="B6" s="5" t="inlineStr">
        <is>
          <t>CONT-2025-305</t>
        </is>
      </c>
      <c r="C6" s="5" t="inlineStr">
        <is>
          <t>Royal AC Services</t>
        </is>
      </c>
      <c r="D6" s="5" t="inlineStr">
        <is>
          <t>MNOPR7890E</t>
        </is>
      </c>
      <c r="E6" s="5" t="inlineStr">
        <is>
          <t>AC Service</t>
        </is>
      </c>
      <c r="F6" s="5" t="inlineStr">
        <is>
          <t>Office Complex</t>
        </is>
      </c>
      <c r="G6" s="6" t="n">
        <v>42000</v>
      </c>
      <c r="H6" s="11" t="n">
        <v>0.02</v>
      </c>
      <c r="I6" s="6">
        <f>G6*H6</f>
        <v/>
      </c>
      <c r="J6" s="6">
        <f>G6-I6</f>
        <v/>
      </c>
      <c r="K6" s="4" t="n">
        <v>45687</v>
      </c>
      <c r="L6" s="5" t="inlineStr">
        <is>
          <t>Cheque</t>
        </is>
      </c>
      <c r="M6" s="5" t="inlineStr">
        <is>
          <t>Pending</t>
        </is>
      </c>
      <c r="N6" s="5" t="inlineStr">
        <is>
          <t>No</t>
        </is>
      </c>
      <c r="O6" s="5" t="n"/>
    </row>
    <row r="7">
      <c r="A7" s="8" t="n">
        <v>45674</v>
      </c>
      <c r="B7" s="3" t="inlineStr">
        <is>
          <t>CONT-2025-306</t>
        </is>
      </c>
      <c r="C7" s="3" t="inlineStr">
        <is>
          <t>Metro Electrical</t>
        </is>
      </c>
      <c r="D7" s="3" t="inlineStr">
        <is>
          <t>PQRME1234F</t>
        </is>
      </c>
      <c r="E7" s="3" t="inlineStr">
        <is>
          <t>Electrical</t>
        </is>
      </c>
      <c r="F7" s="3" t="inlineStr">
        <is>
          <t>New Installation</t>
        </is>
      </c>
      <c r="G7" s="9" t="n">
        <v>55000</v>
      </c>
      <c r="H7" s="12" t="n">
        <v>0.02</v>
      </c>
      <c r="I7" s="9">
        <f>G7*H7</f>
        <v/>
      </c>
      <c r="J7" s="9">
        <f>G7-I7</f>
        <v/>
      </c>
      <c r="K7" s="8" t="n">
        <v>45666</v>
      </c>
      <c r="L7" s="3" t="inlineStr">
        <is>
          <t>Cheque</t>
        </is>
      </c>
      <c r="M7" s="3" t="inlineStr">
        <is>
          <t>Paid</t>
        </is>
      </c>
      <c r="N7" s="3" t="inlineStr">
        <is>
          <t>No</t>
        </is>
      </c>
      <c r="O7" s="3" t="n"/>
    </row>
    <row r="8">
      <c r="A8" s="4" t="n">
        <v>45661</v>
      </c>
      <c r="B8" s="5" t="inlineStr">
        <is>
          <t>CONT-2025-307</t>
        </is>
      </c>
      <c r="C8" s="5" t="inlineStr">
        <is>
          <t>Clean Pro Services</t>
        </is>
      </c>
      <c r="D8" s="5" t="inlineStr">
        <is>
          <t>STUCL5678G</t>
        </is>
      </c>
      <c r="E8" s="5" t="inlineStr">
        <is>
          <t>Regular Cleaning</t>
        </is>
      </c>
      <c r="F8" s="5" t="inlineStr">
        <is>
          <t>Monthly Contract</t>
        </is>
      </c>
      <c r="G8" s="6" t="n">
        <v>65000</v>
      </c>
      <c r="H8" s="11" t="n">
        <v>0.02</v>
      </c>
      <c r="I8" s="6">
        <f>G8*H8</f>
        <v/>
      </c>
      <c r="J8" s="6">
        <f>G8-I8</f>
        <v/>
      </c>
      <c r="K8" s="4" t="n">
        <v>45682</v>
      </c>
      <c r="L8" s="5" t="inlineStr">
        <is>
          <t>Bank Transfer</t>
        </is>
      </c>
      <c r="M8" s="5" t="inlineStr">
        <is>
          <t>Pending</t>
        </is>
      </c>
      <c r="N8" s="5" t="inlineStr">
        <is>
          <t>Yes</t>
        </is>
      </c>
      <c r="O8" s="5" t="n"/>
    </row>
    <row r="9">
      <c r="A9" s="8" t="n">
        <v>45659</v>
      </c>
      <c r="B9" s="3" t="inlineStr">
        <is>
          <t>CONT-2025-308</t>
        </is>
      </c>
      <c r="C9" s="3" t="inlineStr">
        <is>
          <t>Pest Masters</t>
        </is>
      </c>
      <c r="D9" s="3" t="inlineStr">
        <is>
          <t>VWXPM9012H</t>
        </is>
      </c>
      <c r="E9" s="3" t="inlineStr">
        <is>
          <t>Pest Control</t>
        </is>
      </c>
      <c r="F9" s="3" t="inlineStr">
        <is>
          <t>Quarterly Treatment</t>
        </is>
      </c>
      <c r="G9" s="9" t="n">
        <v>48000</v>
      </c>
      <c r="H9" s="12" t="n">
        <v>0.02</v>
      </c>
      <c r="I9" s="9">
        <f>G9*H9</f>
        <v/>
      </c>
      <c r="J9" s="9">
        <f>G9-I9</f>
        <v/>
      </c>
      <c r="K9" s="8" t="n">
        <v>45678</v>
      </c>
      <c r="L9" s="3" t="inlineStr">
        <is>
          <t>Bank Transfer</t>
        </is>
      </c>
      <c r="M9" s="3" t="inlineStr">
        <is>
          <t>Paid</t>
        </is>
      </c>
      <c r="N9" s="3" t="inlineStr">
        <is>
          <t>No</t>
        </is>
      </c>
      <c r="O9" s="3" t="n"/>
    </row>
  </sheetData>
  <dataValidations count="5">
    <dataValidation sqref="H2:H1000" showDropDown="0" showInputMessage="0" showErrorMessage="0" allowBlank="1" type="list">
      <formula1>"1%,2%,10%"</formula1>
    </dataValidation>
    <dataValidation sqref="M2:M1000" showDropDown="0" showInputMessage="0" showErrorMessage="0" allowBlank="1" type="list">
      <formula1>"Paid,Pending,On Hold"</formula1>
    </dataValidation>
    <dataValidation sqref="N2:N1000" showDropDown="0" showInputMessage="0" showErrorMessage="0" allowBlank="1" type="list">
      <formula1>"Yes,No"</formula1>
    </dataValidation>
    <dataValidation sqref="E2:E1000" showDropDown="0" showInputMessage="0" showErrorMessage="0" allowBlank="1" type="list">
      <formula1>"Deep Cleaning,Regular Cleaning,Pest Control,Painting,Plumbing,Electrical,Carpentry,AC Service"</formula1>
    </dataValidation>
    <dataValidation sqref="L2:L1000" showDropDown="0" showInputMessage="0" showErrorMessage="0" allowBlank="1" type="list">
      <formula1>"Bank Transfer,UPI,Cheque,Cash"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Date</t>
        </is>
      </c>
      <c r="B1" s="2" t="inlineStr">
        <is>
          <t>Purchase ID</t>
        </is>
      </c>
      <c r="C1" s="2" t="inlineStr">
        <is>
          <t>Vendor Name</t>
        </is>
      </c>
      <c r="D1" s="2" t="inlineStr">
        <is>
          <t>Vendor GSTIN</t>
        </is>
      </c>
      <c r="E1" s="2" t="inlineStr">
        <is>
          <t>Invoice No</t>
        </is>
      </c>
      <c r="F1" s="2" t="inlineStr">
        <is>
          <t>Item Type</t>
        </is>
      </c>
      <c r="G1" s="2" t="inlineStr">
        <is>
          <t>Item Name</t>
        </is>
      </c>
      <c r="H1" s="2" t="inlineStr">
        <is>
          <t>Quantity</t>
        </is>
      </c>
      <c r="I1" s="2" t="inlineStr">
        <is>
          <t>Unit</t>
        </is>
      </c>
      <c r="J1" s="2" t="inlineStr">
        <is>
          <t>Rate (₹)</t>
        </is>
      </c>
      <c r="K1" s="2" t="inlineStr">
        <is>
          <t>Base Amount (₹)</t>
        </is>
      </c>
      <c r="L1" s="2" t="inlineStr">
        <is>
          <t>GST %</t>
        </is>
      </c>
      <c r="M1" s="2" t="inlineStr">
        <is>
          <t>GST Amount (₹)</t>
        </is>
      </c>
      <c r="N1" s="2" t="inlineStr">
        <is>
          <t>Total Amount (₹)</t>
        </is>
      </c>
      <c r="O1" s="2" t="inlineStr">
        <is>
          <t>Payment Status</t>
        </is>
      </c>
      <c r="P1" s="2" t="inlineStr">
        <is>
          <t>Notes</t>
        </is>
      </c>
    </row>
    <row r="2">
      <c r="A2" s="4" t="n">
        <v>45681</v>
      </c>
      <c r="B2" s="5" t="inlineStr">
        <is>
          <t>PO-2025-201</t>
        </is>
      </c>
      <c r="C2" s="5" t="inlineStr">
        <is>
          <t>City Supplies</t>
        </is>
      </c>
      <c r="D2" s="5" t="inlineStr">
        <is>
          <t>29AABCS5678B2ZW</t>
        </is>
      </c>
      <c r="E2" s="5" t="inlineStr">
        <is>
          <t>INV/7224</t>
        </is>
      </c>
      <c r="F2" s="5" t="inlineStr">
        <is>
          <t>Chemical</t>
        </is>
      </c>
      <c r="G2" s="5" t="inlineStr">
        <is>
          <t>Floor Cleaner</t>
        </is>
      </c>
      <c r="H2" s="5" t="n">
        <v>55</v>
      </c>
      <c r="I2" s="5" t="inlineStr">
        <is>
          <t>Liters</t>
        </is>
      </c>
      <c r="J2" s="6" t="n">
        <v>120</v>
      </c>
      <c r="K2" s="6">
        <f>H2*J2</f>
        <v/>
      </c>
      <c r="L2" s="7" t="n">
        <v>0.18</v>
      </c>
      <c r="M2" s="6">
        <f>K2*L2</f>
        <v/>
      </c>
      <c r="N2" s="6">
        <f>K2+M2</f>
        <v/>
      </c>
      <c r="O2" s="5" t="inlineStr">
        <is>
          <t>Pending</t>
        </is>
      </c>
      <c r="P2" s="5" t="n"/>
    </row>
    <row r="3">
      <c r="A3" s="8" t="n">
        <v>45667</v>
      </c>
      <c r="B3" s="3" t="inlineStr">
        <is>
          <t>PO-2025-202</t>
        </is>
      </c>
      <c r="C3" s="3" t="inlineStr">
        <is>
          <t>Kumar Chemicals Pvt Ltd</t>
        </is>
      </c>
      <c r="D3" s="3" t="inlineStr">
        <is>
          <t>29AABCK1234A1ZV</t>
        </is>
      </c>
      <c r="E3" s="3" t="inlineStr">
        <is>
          <t>INV/6650</t>
        </is>
      </c>
      <c r="F3" s="3" t="inlineStr">
        <is>
          <t>Chemical</t>
        </is>
      </c>
      <c r="G3" s="3" t="inlineStr">
        <is>
          <t>Floor Cleaner</t>
        </is>
      </c>
      <c r="H3" s="3" t="n">
        <v>28</v>
      </c>
      <c r="I3" s="3" t="inlineStr">
        <is>
          <t>Liters</t>
        </is>
      </c>
      <c r="J3" s="9" t="n">
        <v>120</v>
      </c>
      <c r="K3" s="9">
        <f>H3*J3</f>
        <v/>
      </c>
      <c r="L3" s="10" t="n">
        <v>0.18</v>
      </c>
      <c r="M3" s="9">
        <f>K3*L3</f>
        <v/>
      </c>
      <c r="N3" s="9">
        <f>K3+M3</f>
        <v/>
      </c>
      <c r="O3" s="3" t="inlineStr">
        <is>
          <t>Pending</t>
        </is>
      </c>
      <c r="P3" s="3" t="n"/>
    </row>
    <row r="4">
      <c r="A4" s="4" t="n">
        <v>45665</v>
      </c>
      <c r="B4" s="5" t="inlineStr">
        <is>
          <t>PO-2025-203</t>
        </is>
      </c>
      <c r="C4" s="5" t="inlineStr">
        <is>
          <t>Kumar Chemicals Pvt Ltd</t>
        </is>
      </c>
      <c r="D4" s="5" t="inlineStr">
        <is>
          <t>29AABCK1234A1ZV</t>
        </is>
      </c>
      <c r="E4" s="5" t="inlineStr">
        <is>
          <t>INV/3241</t>
        </is>
      </c>
      <c r="F4" s="5" t="inlineStr">
        <is>
          <t>Accessory</t>
        </is>
      </c>
      <c r="G4" s="5" t="inlineStr">
        <is>
          <t>Rubber Gloves</t>
        </is>
      </c>
      <c r="H4" s="5" t="n">
        <v>46</v>
      </c>
      <c r="I4" s="5" t="inlineStr">
        <is>
          <t>Pairs</t>
        </is>
      </c>
      <c r="J4" s="6" t="n">
        <v>45</v>
      </c>
      <c r="K4" s="6">
        <f>H4*J4</f>
        <v/>
      </c>
      <c r="L4" s="7" t="n">
        <v>0.18</v>
      </c>
      <c r="M4" s="6">
        <f>K4*L4</f>
        <v/>
      </c>
      <c r="N4" s="6">
        <f>K4+M4</f>
        <v/>
      </c>
      <c r="O4" s="5" t="inlineStr">
        <is>
          <t>Pending</t>
        </is>
      </c>
      <c r="P4" s="5" t="n"/>
    </row>
    <row r="5">
      <c r="A5" s="8" t="n">
        <v>45672</v>
      </c>
      <c r="B5" s="3" t="inlineStr">
        <is>
          <t>PO-2025-204</t>
        </is>
      </c>
      <c r="C5" s="3" t="inlineStr">
        <is>
          <t>Kumar Chemicals Pvt Ltd</t>
        </is>
      </c>
      <c r="D5" s="3" t="inlineStr">
        <is>
          <t>29AABCK1234A1ZV</t>
        </is>
      </c>
      <c r="E5" s="3" t="inlineStr">
        <is>
          <t>INV/4657</t>
        </is>
      </c>
      <c r="F5" s="3" t="inlineStr">
        <is>
          <t>Chemical</t>
        </is>
      </c>
      <c r="G5" s="3" t="inlineStr">
        <is>
          <t>Surface Disinfectant</t>
        </is>
      </c>
      <c r="H5" s="3" t="n">
        <v>88</v>
      </c>
      <c r="I5" s="3" t="inlineStr">
        <is>
          <t>Liters</t>
        </is>
      </c>
      <c r="J5" s="9" t="n">
        <v>180</v>
      </c>
      <c r="K5" s="9">
        <f>H5*J5</f>
        <v/>
      </c>
      <c r="L5" s="10" t="n">
        <v>0.18</v>
      </c>
      <c r="M5" s="9">
        <f>K5*L5</f>
        <v/>
      </c>
      <c r="N5" s="9">
        <f>K5+M5</f>
        <v/>
      </c>
      <c r="O5" s="3" t="inlineStr">
        <is>
          <t>Paid</t>
        </is>
      </c>
      <c r="P5" s="3" t="n"/>
    </row>
    <row r="6">
      <c r="A6" s="4" t="n">
        <v>45660</v>
      </c>
      <c r="B6" s="5" t="inlineStr">
        <is>
          <t>PO-2025-205</t>
        </is>
      </c>
      <c r="C6" s="5" t="inlineStr">
        <is>
          <t>Metro Cleaning Supplies</t>
        </is>
      </c>
      <c r="D6" s="5" t="inlineStr">
        <is>
          <t>29AABCM9012C3ZX</t>
        </is>
      </c>
      <c r="E6" s="5" t="inlineStr">
        <is>
          <t>INV/3582</t>
        </is>
      </c>
      <c r="F6" s="5" t="inlineStr">
        <is>
          <t>Chemical</t>
        </is>
      </c>
      <c r="G6" s="5" t="inlineStr">
        <is>
          <t>Glass Cleaner</t>
        </is>
      </c>
      <c r="H6" s="5" t="n">
        <v>38</v>
      </c>
      <c r="I6" s="5" t="inlineStr">
        <is>
          <t>Liters</t>
        </is>
      </c>
      <c r="J6" s="6" t="n">
        <v>95</v>
      </c>
      <c r="K6" s="6">
        <f>H6*J6</f>
        <v/>
      </c>
      <c r="L6" s="7" t="n">
        <v>0.18</v>
      </c>
      <c r="M6" s="6">
        <f>K6*L6</f>
        <v/>
      </c>
      <c r="N6" s="6">
        <f>K6+M6</f>
        <v/>
      </c>
      <c r="O6" s="5" t="inlineStr">
        <is>
          <t>Pending</t>
        </is>
      </c>
      <c r="P6" s="5" t="n"/>
    </row>
    <row r="7">
      <c r="A7" s="8" t="n">
        <v>45662</v>
      </c>
      <c r="B7" s="3" t="inlineStr">
        <is>
          <t>PO-2025-206</t>
        </is>
      </c>
      <c r="C7" s="3" t="inlineStr">
        <is>
          <t>Metro Cleaning Supplies</t>
        </is>
      </c>
      <c r="D7" s="3" t="inlineStr">
        <is>
          <t>29AABCM9012C3ZX</t>
        </is>
      </c>
      <c r="E7" s="3" t="inlineStr">
        <is>
          <t>INV/1468</t>
        </is>
      </c>
      <c r="F7" s="3" t="inlineStr">
        <is>
          <t>Chemical</t>
        </is>
      </c>
      <c r="G7" s="3" t="inlineStr">
        <is>
          <t>Floor Cleaner</t>
        </is>
      </c>
      <c r="H7" s="3" t="n">
        <v>13</v>
      </c>
      <c r="I7" s="3" t="inlineStr">
        <is>
          <t>Liters</t>
        </is>
      </c>
      <c r="J7" s="9" t="n">
        <v>120</v>
      </c>
      <c r="K7" s="9">
        <f>H7*J7</f>
        <v/>
      </c>
      <c r="L7" s="10" t="n">
        <v>0.18</v>
      </c>
      <c r="M7" s="9">
        <f>K7*L7</f>
        <v/>
      </c>
      <c r="N7" s="9">
        <f>K7+M7</f>
        <v/>
      </c>
      <c r="O7" s="3" t="inlineStr">
        <is>
          <t>Pending</t>
        </is>
      </c>
      <c r="P7" s="3" t="n"/>
    </row>
    <row r="8">
      <c r="A8" s="4" t="n">
        <v>45661</v>
      </c>
      <c r="B8" s="5" t="inlineStr">
        <is>
          <t>PO-2025-207</t>
        </is>
      </c>
      <c r="C8" s="5" t="inlineStr">
        <is>
          <t>Kumar Chemicals Pvt Ltd</t>
        </is>
      </c>
      <c r="D8" s="5" t="inlineStr">
        <is>
          <t>29AABCK1234A1ZV</t>
        </is>
      </c>
      <c r="E8" s="5" t="inlineStr">
        <is>
          <t>INV/8637</t>
        </is>
      </c>
      <c r="F8" s="5" t="inlineStr">
        <is>
          <t>Accessory</t>
        </is>
      </c>
      <c r="G8" s="5" t="inlineStr">
        <is>
          <t>Microfiber Cloth</t>
        </is>
      </c>
      <c r="H8" s="5" t="n">
        <v>66</v>
      </c>
      <c r="I8" s="5" t="inlineStr">
        <is>
          <t>Pieces</t>
        </is>
      </c>
      <c r="J8" s="6" t="n">
        <v>80</v>
      </c>
      <c r="K8" s="6">
        <f>H8*J8</f>
        <v/>
      </c>
      <c r="L8" s="7" t="n">
        <v>0.18</v>
      </c>
      <c r="M8" s="6">
        <f>K8*L8</f>
        <v/>
      </c>
      <c r="N8" s="6">
        <f>K8+M8</f>
        <v/>
      </c>
      <c r="O8" s="5" t="inlineStr">
        <is>
          <t>Paid</t>
        </is>
      </c>
      <c r="P8" s="5" t="n"/>
    </row>
    <row r="9">
      <c r="A9" s="8" t="n">
        <v>45665</v>
      </c>
      <c r="B9" s="3" t="inlineStr">
        <is>
          <t>PO-2025-208</t>
        </is>
      </c>
      <c r="C9" s="3" t="inlineStr">
        <is>
          <t>City Supplies</t>
        </is>
      </c>
      <c r="D9" s="3" t="inlineStr">
        <is>
          <t>29AABCS5678B2ZW</t>
        </is>
      </c>
      <c r="E9" s="3" t="inlineStr">
        <is>
          <t>INV/8959</t>
        </is>
      </c>
      <c r="F9" s="3" t="inlineStr">
        <is>
          <t>Chemical</t>
        </is>
      </c>
      <c r="G9" s="3" t="inlineStr">
        <is>
          <t>Glass Cleaner</t>
        </is>
      </c>
      <c r="H9" s="3" t="n">
        <v>72</v>
      </c>
      <c r="I9" s="3" t="inlineStr">
        <is>
          <t>Liters</t>
        </is>
      </c>
      <c r="J9" s="9" t="n">
        <v>95</v>
      </c>
      <c r="K9" s="9">
        <f>H9*J9</f>
        <v/>
      </c>
      <c r="L9" s="10" t="n">
        <v>0.18</v>
      </c>
      <c r="M9" s="9">
        <f>K9*L9</f>
        <v/>
      </c>
      <c r="N9" s="9">
        <f>K9+M9</f>
        <v/>
      </c>
      <c r="O9" s="3" t="inlineStr">
        <is>
          <t>Paid</t>
        </is>
      </c>
      <c r="P9" s="3" t="n"/>
    </row>
    <row r="10">
      <c r="A10" s="4" t="n">
        <v>45667</v>
      </c>
      <c r="B10" s="5" t="inlineStr">
        <is>
          <t>PO-2025-209</t>
        </is>
      </c>
      <c r="C10" s="5" t="inlineStr">
        <is>
          <t>Metro Cleaning Supplies</t>
        </is>
      </c>
      <c r="D10" s="5" t="inlineStr">
        <is>
          <t>29AABCM9012C3ZX</t>
        </is>
      </c>
      <c r="E10" s="5" t="inlineStr">
        <is>
          <t>INV/6432</t>
        </is>
      </c>
      <c r="F10" s="5" t="inlineStr">
        <is>
          <t>Accessory</t>
        </is>
      </c>
      <c r="G10" s="5" t="inlineStr">
        <is>
          <t>Microfiber Cloth</t>
        </is>
      </c>
      <c r="H10" s="5" t="n">
        <v>39</v>
      </c>
      <c r="I10" s="5" t="inlineStr">
        <is>
          <t>Pieces</t>
        </is>
      </c>
      <c r="J10" s="6" t="n">
        <v>80</v>
      </c>
      <c r="K10" s="6">
        <f>H10*J10</f>
        <v/>
      </c>
      <c r="L10" s="7" t="n">
        <v>0.18</v>
      </c>
      <c r="M10" s="6">
        <f>K10*L10</f>
        <v/>
      </c>
      <c r="N10" s="6">
        <f>K10+M10</f>
        <v/>
      </c>
      <c r="O10" s="5" t="inlineStr">
        <is>
          <t>Pending</t>
        </is>
      </c>
      <c r="P10" s="5" t="n"/>
    </row>
    <row r="11">
      <c r="A11" s="8" t="n">
        <v>45676</v>
      </c>
      <c r="B11" s="3" t="inlineStr">
        <is>
          <t>PO-2025-210</t>
        </is>
      </c>
      <c r="C11" s="3" t="inlineStr">
        <is>
          <t>City Supplies</t>
        </is>
      </c>
      <c r="D11" s="3" t="inlineStr">
        <is>
          <t>29AABCS5678B2ZW</t>
        </is>
      </c>
      <c r="E11" s="3" t="inlineStr">
        <is>
          <t>INV/3106</t>
        </is>
      </c>
      <c r="F11" s="3" t="inlineStr">
        <is>
          <t>Accessory</t>
        </is>
      </c>
      <c r="G11" s="3" t="inlineStr">
        <is>
          <t>Microfiber Cloth</t>
        </is>
      </c>
      <c r="H11" s="3" t="n">
        <v>18</v>
      </c>
      <c r="I11" s="3" t="inlineStr">
        <is>
          <t>Pieces</t>
        </is>
      </c>
      <c r="J11" s="9" t="n">
        <v>80</v>
      </c>
      <c r="K11" s="9">
        <f>H11*J11</f>
        <v/>
      </c>
      <c r="L11" s="10" t="n">
        <v>0.18</v>
      </c>
      <c r="M11" s="9">
        <f>K11*L11</f>
        <v/>
      </c>
      <c r="N11" s="9">
        <f>K11+M11</f>
        <v/>
      </c>
      <c r="O11" s="3" t="inlineStr">
        <is>
          <t>Paid</t>
        </is>
      </c>
      <c r="P11" s="3" t="n"/>
    </row>
  </sheetData>
  <dataValidations count="3">
    <dataValidation sqref="F2:F1000" showDropDown="0" showInputMessage="0" showErrorMessage="0" allowBlank="1" type="list">
      <formula1>"Chemical,Accessory,Machine,Spare Part"</formula1>
    </dataValidation>
    <dataValidation sqref="O2:O1000" showDropDown="0" showInputMessage="0" showErrorMessage="0" allowBlank="1" type="list">
      <formula1>"Paid,Pending"</formula1>
    </dataValidation>
    <dataValidation sqref="L2:L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5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Machine ID</t>
        </is>
      </c>
      <c r="B1" s="2" t="inlineStr">
        <is>
          <t>Machine Name</t>
        </is>
      </c>
      <c r="C1" s="2" t="inlineStr">
        <is>
          <t>Model</t>
        </is>
      </c>
      <c r="D1" s="2" t="inlineStr">
        <is>
          <t>Category</t>
        </is>
      </c>
      <c r="E1" s="2" t="inlineStr">
        <is>
          <t>Purchase Date</t>
        </is>
      </c>
      <c r="F1" s="2" t="inlineStr">
        <is>
          <t>Purchase Invoice No</t>
        </is>
      </c>
      <c r="G1" s="2" t="inlineStr">
        <is>
          <t>Vendor GST No</t>
        </is>
      </c>
      <c r="H1" s="2" t="inlineStr">
        <is>
          <t>Base Cost (₹)</t>
        </is>
      </c>
      <c r="I1" s="2" t="inlineStr">
        <is>
          <t>GST %</t>
        </is>
      </c>
      <c r="J1" s="2" t="inlineStr">
        <is>
          <t>GST Amount (₹)</t>
        </is>
      </c>
      <c r="K1" s="2" t="inlineStr">
        <is>
          <t>Total Cost (₹)</t>
        </is>
      </c>
      <c r="L1" s="2" t="inlineStr">
        <is>
          <t>Current Status</t>
        </is>
      </c>
      <c r="M1" s="2" t="inlineStr">
        <is>
          <t>Location</t>
        </is>
      </c>
      <c r="N1" s="2" t="inlineStr">
        <is>
          <t>Notes</t>
        </is>
      </c>
    </row>
    <row r="2">
      <c r="A2" s="5" t="inlineStr">
        <is>
          <t>M001</t>
        </is>
      </c>
      <c r="B2" s="5" t="inlineStr">
        <is>
          <t>Floor Scrubber</t>
        </is>
      </c>
      <c r="C2" s="5" t="inlineStr">
        <is>
          <t>Karcher BD 50/50</t>
        </is>
      </c>
      <c r="D2" s="5" t="inlineStr">
        <is>
          <t>Cleaning Machine</t>
        </is>
      </c>
      <c r="E2" s="4" t="n">
        <v>45000</v>
      </c>
      <c r="F2" s="5" t="inlineStr">
        <is>
          <t>INV/K/2023/1234</t>
        </is>
      </c>
      <c r="G2" s="5" t="inlineStr">
        <is>
          <t>29AABCK1234A1Z5</t>
        </is>
      </c>
      <c r="H2" s="6" t="n">
        <v>72034</v>
      </c>
      <c r="I2" s="7" t="n">
        <v>0.18</v>
      </c>
      <c r="J2" s="6">
        <f>H2*I2</f>
        <v/>
      </c>
      <c r="K2" s="6">
        <f>H2+J2</f>
        <v/>
      </c>
      <c r="L2" s="5" t="inlineStr">
        <is>
          <t>Active</t>
        </is>
      </c>
      <c r="M2" s="5" t="inlineStr">
        <is>
          <t>Team A</t>
        </is>
      </c>
      <c r="N2" s="5" t="n"/>
    </row>
    <row r="3">
      <c r="A3" s="3" t="inlineStr">
        <is>
          <t>M002</t>
        </is>
      </c>
      <c r="B3" s="3" t="inlineStr">
        <is>
          <t>Pressure Washer</t>
        </is>
      </c>
      <c r="C3" s="3" t="inlineStr">
        <is>
          <t>Bosch AQT 45-14X</t>
        </is>
      </c>
      <c r="D3" s="3" t="inlineStr">
        <is>
          <t>Cleaning Machine</t>
        </is>
      </c>
      <c r="E3" s="8" t="n">
        <v>45066</v>
      </c>
      <c r="F3" s="3" t="inlineStr">
        <is>
          <t>INV/B/2023/5678</t>
        </is>
      </c>
      <c r="G3" s="3" t="inlineStr">
        <is>
          <t>29AABCB5678B2Z6</t>
        </is>
      </c>
      <c r="H3" s="9" t="n">
        <v>38136</v>
      </c>
      <c r="I3" s="10" t="n">
        <v>0.18</v>
      </c>
      <c r="J3" s="9">
        <f>H3*I3</f>
        <v/>
      </c>
      <c r="K3" s="9">
        <f>H3+J3</f>
        <v/>
      </c>
      <c r="L3" s="3" t="inlineStr">
        <is>
          <t>Active</t>
        </is>
      </c>
      <c r="M3" s="3" t="inlineStr">
        <is>
          <t>Team B</t>
        </is>
      </c>
      <c r="N3" s="3" t="n"/>
    </row>
    <row r="4">
      <c r="A4" s="5" t="inlineStr">
        <is>
          <t>M003</t>
        </is>
      </c>
      <c r="B4" s="5" t="inlineStr">
        <is>
          <t>Vacuum Cleaner</t>
        </is>
      </c>
      <c r="C4" s="5" t="inlineStr">
        <is>
          <t>Eureka Forbes Pro</t>
        </is>
      </c>
      <c r="D4" s="5" t="inlineStr">
        <is>
          <t>Cleaning Machine</t>
        </is>
      </c>
      <c r="E4" s="4" t="n">
        <v>44783</v>
      </c>
      <c r="F4" s="5" t="inlineStr">
        <is>
          <t>INV/E/2022/9012</t>
        </is>
      </c>
      <c r="G4" s="5" t="inlineStr">
        <is>
          <t>29AABCE9012C3Z7</t>
        </is>
      </c>
      <c r="H4" s="6" t="n">
        <v>23729</v>
      </c>
      <c r="I4" s="7" t="n">
        <v>0.18</v>
      </c>
      <c r="J4" s="6">
        <f>H4*I4</f>
        <v/>
      </c>
      <c r="K4" s="6">
        <f>H4+J4</f>
        <v/>
      </c>
      <c r="L4" s="5" t="inlineStr">
        <is>
          <t>Active</t>
        </is>
      </c>
      <c r="M4" s="5" t="inlineStr">
        <is>
          <t>Team A</t>
        </is>
      </c>
      <c r="N4" s="5" t="n"/>
    </row>
    <row r="5">
      <c r="A5" s="3" t="inlineStr">
        <is>
          <t>M004</t>
        </is>
      </c>
      <c r="B5" s="3" t="inlineStr">
        <is>
          <t>Pest Control Sprayer</t>
        </is>
      </c>
      <c r="C5" s="3" t="inlineStr">
        <is>
          <t>Solo 475</t>
        </is>
      </c>
      <c r="D5" s="3" t="inlineStr">
        <is>
          <t>Spray Equipment</t>
        </is>
      </c>
      <c r="E5" s="8" t="n">
        <v>44931</v>
      </c>
      <c r="F5" s="3" t="inlineStr">
        <is>
          <t>INV/S/2023/3456</t>
        </is>
      </c>
      <c r="G5" s="3" t="inlineStr">
        <is>
          <t>29AABCS3456D4Z8</t>
        </is>
      </c>
      <c r="H5" s="9" t="n">
        <v>12712</v>
      </c>
      <c r="I5" s="10" t="n">
        <v>0.18</v>
      </c>
      <c r="J5" s="9">
        <f>H5*I5</f>
        <v/>
      </c>
      <c r="K5" s="9">
        <f>H5+J5</f>
        <v/>
      </c>
      <c r="L5" s="3" t="inlineStr">
        <is>
          <t>Active</t>
        </is>
      </c>
      <c r="M5" s="3" t="inlineStr">
        <is>
          <t>Pest Team</t>
        </is>
      </c>
      <c r="N5" s="3" t="n"/>
    </row>
    <row r="6">
      <c r="A6" s="5" t="inlineStr">
        <is>
          <t>M005</t>
        </is>
      </c>
      <c r="B6" s="5" t="inlineStr">
        <is>
          <t>Paint Sprayer</t>
        </is>
      </c>
      <c r="C6" s="5" t="inlineStr">
        <is>
          <t>Graco Magnum X5</t>
        </is>
      </c>
      <c r="D6" s="5" t="inlineStr">
        <is>
          <t>Spray Equipment</t>
        </is>
      </c>
      <c r="E6" s="4" t="n">
        <v>45119</v>
      </c>
      <c r="F6" s="5" t="inlineStr">
        <is>
          <t>INV/G/2023/7890</t>
        </is>
      </c>
      <c r="G6" s="5" t="inlineStr">
        <is>
          <t>29AABCG7890E5Z9</t>
        </is>
      </c>
      <c r="H6" s="6" t="n">
        <v>55085</v>
      </c>
      <c r="I6" s="7" t="n">
        <v>0.18</v>
      </c>
      <c r="J6" s="6">
        <f>H6*I6</f>
        <v/>
      </c>
      <c r="K6" s="6">
        <f>H6+J6</f>
        <v/>
      </c>
      <c r="L6" s="5" t="inlineStr">
        <is>
          <t>Under Repair</t>
        </is>
      </c>
      <c r="M6" s="5" t="inlineStr">
        <is>
          <t>Painting</t>
        </is>
      </c>
      <c r="N6" s="5" t="n"/>
    </row>
    <row r="7">
      <c r="A7" s="3" t="inlineStr">
        <is>
          <t>M006</t>
        </is>
      </c>
      <c r="B7" s="3" t="inlineStr">
        <is>
          <t>Drill Machine</t>
        </is>
      </c>
      <c r="C7" s="3" t="inlineStr">
        <is>
          <t>Bosch GSB 600</t>
        </is>
      </c>
      <c r="D7" s="3" t="inlineStr">
        <is>
          <t>Power Tools</t>
        </is>
      </c>
      <c r="E7" s="8" t="n">
        <v>44669</v>
      </c>
      <c r="F7" s="3" t="inlineStr">
        <is>
          <t>INV/B/2022/1111</t>
        </is>
      </c>
      <c r="G7" s="3" t="inlineStr">
        <is>
          <t>29AABCB5678B2Z6</t>
        </is>
      </c>
      <c r="H7" s="9" t="n">
        <v>7203</v>
      </c>
      <c r="I7" s="10" t="n">
        <v>0.18</v>
      </c>
      <c r="J7" s="9">
        <f>H7*I7</f>
        <v/>
      </c>
      <c r="K7" s="9">
        <f>H7+J7</f>
        <v/>
      </c>
      <c r="L7" s="3" t="inlineStr">
        <is>
          <t>Active</t>
        </is>
      </c>
      <c r="M7" s="3" t="inlineStr">
        <is>
          <t>General</t>
        </is>
      </c>
      <c r="N7" s="3" t="n"/>
    </row>
    <row r="8">
      <c r="A8" s="5" t="inlineStr">
        <is>
          <t>M007</t>
        </is>
      </c>
      <c r="B8" s="5" t="inlineStr">
        <is>
          <t>Angle Grinder</t>
        </is>
      </c>
      <c r="C8" s="5" t="inlineStr">
        <is>
          <t>Makita GA4030</t>
        </is>
      </c>
      <c r="D8" s="5" t="inlineStr">
        <is>
          <t>Power Tools</t>
        </is>
      </c>
      <c r="E8" s="4" t="n">
        <v>44979</v>
      </c>
      <c r="F8" s="5" t="inlineStr">
        <is>
          <t>INV/M/2023/2222</t>
        </is>
      </c>
      <c r="G8" s="5" t="inlineStr">
        <is>
          <t>29AABCM2222F6Z0</t>
        </is>
      </c>
      <c r="H8" s="6" t="n">
        <v>5508</v>
      </c>
      <c r="I8" s="7" t="n">
        <v>0.18</v>
      </c>
      <c r="J8" s="6">
        <f>H8*I8</f>
        <v/>
      </c>
      <c r="K8" s="6">
        <f>H8+J8</f>
        <v/>
      </c>
      <c r="L8" s="5" t="inlineStr">
        <is>
          <t>Active</t>
        </is>
      </c>
      <c r="M8" s="5" t="inlineStr">
        <is>
          <t>General</t>
        </is>
      </c>
      <c r="N8" s="5" t="n"/>
    </row>
    <row r="9">
      <c r="A9" s="3" t="inlineStr">
        <is>
          <t>M008</t>
        </is>
      </c>
      <c r="B9" s="3" t="inlineStr">
        <is>
          <t>Steam Cleaner</t>
        </is>
      </c>
      <c r="C9" s="3" t="inlineStr">
        <is>
          <t>Karcher SC3</t>
        </is>
      </c>
      <c r="D9" s="3" t="inlineStr">
        <is>
          <t>Cleaning Machine</t>
        </is>
      </c>
      <c r="E9" s="8" t="n">
        <v>45299</v>
      </c>
      <c r="F9" s="3" t="inlineStr">
        <is>
          <t>INV/K/2024/3333</t>
        </is>
      </c>
      <c r="G9" s="3" t="inlineStr">
        <is>
          <t>29AABCK1234A1Z5</t>
        </is>
      </c>
      <c r="H9" s="9" t="n">
        <v>29661</v>
      </c>
      <c r="I9" s="10" t="n">
        <v>0.18</v>
      </c>
      <c r="J9" s="9">
        <f>H9*I9</f>
        <v/>
      </c>
      <c r="K9" s="9">
        <f>H9+J9</f>
        <v/>
      </c>
      <c r="L9" s="3" t="inlineStr">
        <is>
          <t>Active</t>
        </is>
      </c>
      <c r="M9" s="3" t="inlineStr">
        <is>
          <t>Team C</t>
        </is>
      </c>
      <c r="N9" s="3" t="n"/>
    </row>
  </sheetData>
  <dataValidations count="3">
    <dataValidation sqref="D2:D1000" showDropDown="0" showInputMessage="0" showErrorMessage="0" allowBlank="1" type="list">
      <formula1>"Cleaning Machine,Spray Equipment,Power Tools,Safety Equipment"</formula1>
    </dataValidation>
    <dataValidation sqref="L2:L1000" showDropDown="0" showInputMessage="0" showErrorMessage="0" allowBlank="1" type="list">
      <formula1>"Active,Under Repair,Retired"</formula1>
    </dataValidation>
    <dataValidation sqref="I2:I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Date</t>
        </is>
      </c>
      <c r="B1" s="2" t="inlineStr">
        <is>
          <t>Machine ID</t>
        </is>
      </c>
      <c r="C1" s="2" t="inlineStr">
        <is>
          <t>Machine Name</t>
        </is>
      </c>
      <c r="D1" s="2" t="inlineStr">
        <is>
          <t>Maintenance Type</t>
        </is>
      </c>
      <c r="E1" s="2" t="inlineStr">
        <is>
          <t>Description</t>
        </is>
      </c>
      <c r="F1" s="2" t="inlineStr">
        <is>
          <t>Base Cost (₹)</t>
        </is>
      </c>
      <c r="G1" s="2" t="inlineStr">
        <is>
          <t>GST %</t>
        </is>
      </c>
      <c r="H1" s="2" t="inlineStr">
        <is>
          <t>GST Amount (₹)</t>
        </is>
      </c>
      <c r="I1" s="2" t="inlineStr">
        <is>
          <t>Total Cost (₹)</t>
        </is>
      </c>
      <c r="J1" s="2" t="inlineStr">
        <is>
          <t>Done By</t>
        </is>
      </c>
      <c r="K1" s="2" t="inlineStr">
        <is>
          <t>Next Service</t>
        </is>
      </c>
      <c r="L1" s="2" t="inlineStr">
        <is>
          <t>Service Status</t>
        </is>
      </c>
      <c r="M1" s="2" t="inlineStr">
        <is>
          <t>Notes</t>
        </is>
      </c>
    </row>
    <row r="2">
      <c r="A2" s="4" t="n">
        <v>45505</v>
      </c>
      <c r="B2" s="5" t="inlineStr">
        <is>
          <t>M001</t>
        </is>
      </c>
      <c r="C2" s="5" t="inlineStr">
        <is>
          <t>Floor Scrubber</t>
        </is>
      </c>
      <c r="D2" s="5" t="inlineStr">
        <is>
          <t>Service</t>
        </is>
      </c>
      <c r="E2" s="5" t="inlineStr">
        <is>
          <t>Brush replacement</t>
        </is>
      </c>
      <c r="F2" s="6" t="n">
        <v>3814</v>
      </c>
      <c r="G2" s="7" t="n">
        <v>0.18</v>
      </c>
      <c r="H2" s="6">
        <f>F2*G2</f>
        <v/>
      </c>
      <c r="I2" s="6">
        <f>F2+H2</f>
        <v/>
      </c>
      <c r="J2" s="5" t="inlineStr">
        <is>
          <t>Karcher Service</t>
        </is>
      </c>
      <c r="K2" s="4" t="n">
        <v>45689</v>
      </c>
      <c r="L2" s="5" t="inlineStr">
        <is>
          <t>Service Completed</t>
        </is>
      </c>
      <c r="M2" s="5" t="n"/>
    </row>
    <row r="3">
      <c r="A3" s="8" t="n">
        <v>45540</v>
      </c>
      <c r="B3" s="3" t="inlineStr">
        <is>
          <t>M002</t>
        </is>
      </c>
      <c r="C3" s="3" t="inlineStr">
        <is>
          <t>Pressure Washer</t>
        </is>
      </c>
      <c r="D3" s="3" t="inlineStr">
        <is>
          <t>Repair</t>
        </is>
      </c>
      <c r="E3" s="3" t="inlineStr">
        <is>
          <t>Nozzle fixed</t>
        </is>
      </c>
      <c r="F3" s="9" t="n">
        <v>1525</v>
      </c>
      <c r="G3" s="10" t="n">
        <v>0.18</v>
      </c>
      <c r="H3" s="9">
        <f>F3*G3</f>
        <v/>
      </c>
      <c r="I3" s="9">
        <f>F3+H3</f>
        <v/>
      </c>
      <c r="J3" s="3" t="inlineStr">
        <is>
          <t>Bosch Service</t>
        </is>
      </c>
      <c r="K3" s="8" t="n">
        <v>45721</v>
      </c>
      <c r="L3" s="3" t="inlineStr">
        <is>
          <t>Service Completed</t>
        </is>
      </c>
      <c r="M3" s="3" t="n"/>
    </row>
    <row r="4">
      <c r="A4" s="4" t="n">
        <v>45575</v>
      </c>
      <c r="B4" s="5" t="inlineStr">
        <is>
          <t>M003</t>
        </is>
      </c>
      <c r="C4" s="5" t="inlineStr">
        <is>
          <t>Vacuum Cleaner</t>
        </is>
      </c>
      <c r="D4" s="5" t="inlineStr">
        <is>
          <t>Service</t>
        </is>
      </c>
      <c r="E4" s="5" t="inlineStr">
        <is>
          <t>Filter cleaning</t>
        </is>
      </c>
      <c r="F4" s="6" t="n">
        <v>678</v>
      </c>
      <c r="G4" s="7" t="n">
        <v>0.18</v>
      </c>
      <c r="H4" s="6">
        <f>F4*G4</f>
        <v/>
      </c>
      <c r="I4" s="6">
        <f>F4+H4</f>
        <v/>
      </c>
      <c r="J4" s="5" t="inlineStr">
        <is>
          <t>In-house</t>
        </is>
      </c>
      <c r="K4" s="4" t="n">
        <v>45757</v>
      </c>
      <c r="L4" s="5" t="inlineStr">
        <is>
          <t>Service Completed</t>
        </is>
      </c>
      <c r="M4" s="5" t="n"/>
    </row>
    <row r="5">
      <c r="A5" s="8" t="n">
        <v>45611</v>
      </c>
      <c r="B5" s="3" t="inlineStr">
        <is>
          <t>M005</t>
        </is>
      </c>
      <c r="C5" s="3" t="inlineStr">
        <is>
          <t>Paint Sprayer</t>
        </is>
      </c>
      <c r="D5" s="3" t="inlineStr">
        <is>
          <t>Repair</t>
        </is>
      </c>
      <c r="E5" s="3" t="inlineStr">
        <is>
          <t>Motor rewinding</t>
        </is>
      </c>
      <c r="F5" s="9" t="n">
        <v>7203</v>
      </c>
      <c r="G5" s="10" t="n">
        <v>0.18</v>
      </c>
      <c r="H5" s="9">
        <f>F5*G5</f>
        <v/>
      </c>
      <c r="I5" s="9">
        <f>F5+H5</f>
        <v/>
      </c>
      <c r="J5" s="3" t="inlineStr">
        <is>
          <t>Graco Service</t>
        </is>
      </c>
      <c r="K5" s="8" t="n">
        <v>45792</v>
      </c>
      <c r="L5" s="3" t="inlineStr">
        <is>
          <t>Out for Service</t>
        </is>
      </c>
      <c r="M5" s="3" t="n"/>
    </row>
    <row r="6">
      <c r="A6" s="4" t="n">
        <v>45662</v>
      </c>
      <c r="B6" s="5" t="inlineStr">
        <is>
          <t>M004</t>
        </is>
      </c>
      <c r="C6" s="5" t="inlineStr">
        <is>
          <t>Pest Sprayer</t>
        </is>
      </c>
      <c r="D6" s="5" t="inlineStr">
        <is>
          <t>Service</t>
        </is>
      </c>
      <c r="E6" s="5" t="inlineStr">
        <is>
          <t>Valve check</t>
        </is>
      </c>
      <c r="F6" s="6" t="n">
        <v>424</v>
      </c>
      <c r="G6" s="7" t="n">
        <v>0.18</v>
      </c>
      <c r="H6" s="6">
        <f>F6*G6</f>
        <v/>
      </c>
      <c r="I6" s="6">
        <f>F6+H6</f>
        <v/>
      </c>
      <c r="J6" s="5" t="inlineStr">
        <is>
          <t>In-house</t>
        </is>
      </c>
      <c r="K6" s="4" t="n">
        <v>45843</v>
      </c>
      <c r="L6" s="5" t="inlineStr">
        <is>
          <t>Service Completed</t>
        </is>
      </c>
      <c r="M6" s="5" t="n"/>
    </row>
  </sheetData>
  <dataValidations count="4">
    <dataValidation sqref="D2:D1000" showDropDown="0" showInputMessage="0" showErrorMessage="0" allowBlank="1" type="list">
      <formula1>"Repair,Service,Parts Replacement"</formula1>
    </dataValidation>
    <dataValidation sqref="B2:B1000" showDropDown="0" showInputMessage="0" showErrorMessage="0" allowBlank="1" type="list">
      <formula1>"M001,M002,M003,M004,M005,M006,M007,M008"</formula1>
    </dataValidation>
    <dataValidation sqref="G2:G1000" showDropDown="0" showInputMessage="0" showErrorMessage="0" allowBlank="1" type="list">
      <formula1>"0%,5%,12%,18%"</formula1>
    </dataValidation>
    <dataValidation sqref="L2:L1000" showDropDown="0" showInputMessage="0" showErrorMessage="0" allowBlank="1" type="list">
      <formula1>"Service Completed,Out for Service,Delay in Delivery,Pending,In Progress"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Item ID</t>
        </is>
      </c>
      <c r="B1" s="2" t="inlineStr">
        <is>
          <t>Chemical Name</t>
        </is>
      </c>
      <c r="C1" s="2" t="inlineStr">
        <is>
          <t>Brand</t>
        </is>
      </c>
      <c r="D1" s="2" t="inlineStr">
        <is>
          <t>Category</t>
        </is>
      </c>
      <c r="E1" s="2" t="inlineStr">
        <is>
          <t>Unit</t>
        </is>
      </c>
      <c r="F1" s="2" t="inlineStr">
        <is>
          <t>Opening Stock</t>
        </is>
      </c>
      <c r="G1" s="2" t="inlineStr">
        <is>
          <t>Stock Added</t>
        </is>
      </c>
      <c r="H1" s="2" t="inlineStr">
        <is>
          <t>Stock Used</t>
        </is>
      </c>
      <c r="I1" s="2" t="inlineStr">
        <is>
          <t>Closing Stock</t>
        </is>
      </c>
      <c r="J1" s="2" t="inlineStr">
        <is>
          <t>Min Level</t>
        </is>
      </c>
      <c r="K1" s="2" t="inlineStr">
        <is>
          <t>Status</t>
        </is>
      </c>
      <c r="L1" s="2" t="inlineStr">
        <is>
          <t>Last Updated</t>
        </is>
      </c>
    </row>
    <row r="2">
      <c r="A2" s="5" t="inlineStr">
        <is>
          <t>CH001</t>
        </is>
      </c>
      <c r="B2" s="5" t="inlineStr">
        <is>
          <t>Floor Cleaner</t>
        </is>
      </c>
      <c r="C2" s="5" t="inlineStr">
        <is>
          <t>Lizol</t>
        </is>
      </c>
      <c r="D2" s="5" t="inlineStr">
        <is>
          <t>Cleaning Agents</t>
        </is>
      </c>
      <c r="E2" s="5" t="inlineStr">
        <is>
          <t>Liters</t>
        </is>
      </c>
      <c r="F2" s="5" t="n">
        <v>50</v>
      </c>
      <c r="G2" s="5" t="n">
        <v>100</v>
      </c>
      <c r="H2" s="5" t="n">
        <v>80</v>
      </c>
      <c r="I2" s="5">
        <f>F2+G2-H2</f>
        <v/>
      </c>
      <c r="J2" s="5" t="n">
        <v>20</v>
      </c>
      <c r="K2" s="5">
        <f>IF(I2&lt;J2,"Low Stock","OK")</f>
        <v/>
      </c>
      <c r="L2" s="4" t="n">
        <v>45682</v>
      </c>
    </row>
    <row r="3">
      <c r="A3" s="3" t="inlineStr">
        <is>
          <t>CH002</t>
        </is>
      </c>
      <c r="B3" s="3" t="inlineStr">
        <is>
          <t>Glass Cleaner</t>
        </is>
      </c>
      <c r="C3" s="3" t="inlineStr">
        <is>
          <t>Colin</t>
        </is>
      </c>
      <c r="D3" s="3" t="inlineStr">
        <is>
          <t>Cleaning Agents</t>
        </is>
      </c>
      <c r="E3" s="3" t="inlineStr">
        <is>
          <t>Liters</t>
        </is>
      </c>
      <c r="F3" s="3" t="n">
        <v>30</v>
      </c>
      <c r="G3" s="3" t="n">
        <v>50</v>
      </c>
      <c r="H3" s="3" t="n">
        <v>45</v>
      </c>
      <c r="I3" s="3">
        <f>F3+G3-H3</f>
        <v/>
      </c>
      <c r="J3" s="3" t="n">
        <v>15</v>
      </c>
      <c r="K3" s="3">
        <f>IF(I3&lt;J3,"Low Stock","OK")</f>
        <v/>
      </c>
      <c r="L3" s="8" t="n">
        <v>45682</v>
      </c>
    </row>
    <row r="4">
      <c r="A4" s="5" t="inlineStr">
        <is>
          <t>CH003</t>
        </is>
      </c>
      <c r="B4" s="5" t="inlineStr">
        <is>
          <t>Toilet Cleaner</t>
        </is>
      </c>
      <c r="C4" s="5" t="inlineStr">
        <is>
          <t>Harpic</t>
        </is>
      </c>
      <c r="D4" s="5" t="inlineStr">
        <is>
          <t>Cleaning Agents</t>
        </is>
      </c>
      <c r="E4" s="5" t="inlineStr">
        <is>
          <t>Liters</t>
        </is>
      </c>
      <c r="F4" s="5" t="n">
        <v>40</v>
      </c>
      <c r="G4" s="5" t="n">
        <v>80</v>
      </c>
      <c r="H4" s="5" t="n">
        <v>70</v>
      </c>
      <c r="I4" s="5">
        <f>F4+G4-H4</f>
        <v/>
      </c>
      <c r="J4" s="5" t="n">
        <v>20</v>
      </c>
      <c r="K4" s="5">
        <f>IF(I4&lt;J4,"Low Stock","OK")</f>
        <v/>
      </c>
      <c r="L4" s="4" t="n">
        <v>45682</v>
      </c>
    </row>
    <row r="5">
      <c r="A5" s="3" t="inlineStr">
        <is>
          <t>CH004</t>
        </is>
      </c>
      <c r="B5" s="3" t="inlineStr">
        <is>
          <t>Pesticide Spray</t>
        </is>
      </c>
      <c r="C5" s="3" t="inlineStr">
        <is>
          <t>Baygon Pro</t>
        </is>
      </c>
      <c r="D5" s="3" t="inlineStr">
        <is>
          <t>Pest Control</t>
        </is>
      </c>
      <c r="E5" s="3" t="inlineStr">
        <is>
          <t>Cans</t>
        </is>
      </c>
      <c r="F5" s="3" t="n">
        <v>25</v>
      </c>
      <c r="G5" s="3" t="n">
        <v>50</v>
      </c>
      <c r="H5" s="3" t="n">
        <v>40</v>
      </c>
      <c r="I5" s="3">
        <f>F5+G5-H5</f>
        <v/>
      </c>
      <c r="J5" s="3" t="n">
        <v>10</v>
      </c>
      <c r="K5" s="3">
        <f>IF(I5&lt;J5,"Low Stock","OK")</f>
        <v/>
      </c>
      <c r="L5" s="8" t="n">
        <v>45682</v>
      </c>
    </row>
    <row r="6">
      <c r="A6" s="5" t="inlineStr">
        <is>
          <t>CH005</t>
        </is>
      </c>
      <c r="B6" s="5" t="inlineStr">
        <is>
          <t>Surface Disinfectant</t>
        </is>
      </c>
      <c r="C6" s="5" t="inlineStr">
        <is>
          <t>Lysol</t>
        </is>
      </c>
      <c r="D6" s="5" t="inlineStr">
        <is>
          <t>Sanitizers</t>
        </is>
      </c>
      <c r="E6" s="5" t="inlineStr">
        <is>
          <t>Liters</t>
        </is>
      </c>
      <c r="F6" s="5" t="n">
        <v>25</v>
      </c>
      <c r="G6" s="5" t="n">
        <v>50</v>
      </c>
      <c r="H6" s="5" t="n">
        <v>40</v>
      </c>
      <c r="I6" s="5">
        <f>F6+G6-H6</f>
        <v/>
      </c>
      <c r="J6" s="5" t="n">
        <v>15</v>
      </c>
      <c r="K6" s="5">
        <f>IF(I6&lt;J6,"Low Stock","OK")</f>
        <v/>
      </c>
      <c r="L6" s="4" t="n">
        <v>45682</v>
      </c>
    </row>
  </sheetData>
  <conditionalFormatting sqref="K2:K1000">
    <cfRule type="expression" priority="1" dxfId="0">
      <formula>K2="Low Stock"</formula>
    </cfRule>
    <cfRule type="expression" priority="2" dxfId="1">
      <formula>K2="OK"</formula>
    </cfRule>
  </conditionalFormatting>
  <dataValidations count="2">
    <dataValidation sqref="D2:D1000" showDropDown="0" showInputMessage="0" showErrorMessage="0" allowBlank="1" type="list">
      <formula1>"Cleaning Agents,Pest Control,Sanitizers,Specialty"</formula1>
    </dataValidation>
    <dataValidation sqref="E2:E1000" showDropDown="0" showInputMessage="0" showErrorMessage="0" allowBlank="1" type="list">
      <formula1>"Liters,KG,Bottles,Cans"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Item ID</t>
        </is>
      </c>
      <c r="B1" s="2" t="inlineStr">
        <is>
          <t>Item Name</t>
        </is>
      </c>
      <c r="C1" s="2" t="inlineStr">
        <is>
          <t>Category</t>
        </is>
      </c>
      <c r="D1" s="2" t="inlineStr">
        <is>
          <t>Unit</t>
        </is>
      </c>
      <c r="E1" s="2" t="inlineStr">
        <is>
          <t>Opening Stock</t>
        </is>
      </c>
      <c r="F1" s="2" t="inlineStr">
        <is>
          <t>Stock Added</t>
        </is>
      </c>
      <c r="G1" s="2" t="inlineStr">
        <is>
          <t>Stock Used</t>
        </is>
      </c>
      <c r="H1" s="2" t="inlineStr">
        <is>
          <t>Closing Stock</t>
        </is>
      </c>
      <c r="I1" s="2" t="inlineStr">
        <is>
          <t>Min Level</t>
        </is>
      </c>
      <c r="J1" s="2" t="inlineStr">
        <is>
          <t>Status</t>
        </is>
      </c>
      <c r="K1" s="2" t="inlineStr">
        <is>
          <t>Last Updated</t>
        </is>
      </c>
    </row>
    <row r="2">
      <c r="A2" s="5" t="inlineStr">
        <is>
          <t>AC001</t>
        </is>
      </c>
      <c r="B2" s="5" t="inlineStr">
        <is>
          <t>Rubber Hose (10m)</t>
        </is>
      </c>
      <c r="C2" s="5" t="inlineStr">
        <is>
          <t>Pipes &amp; Hoses</t>
        </is>
      </c>
      <c r="D2" s="5" t="inlineStr">
        <is>
          <t>Pieces</t>
        </is>
      </c>
      <c r="E2" s="5" t="n">
        <v>10</v>
      </c>
      <c r="F2" s="5" t="n">
        <v>15</v>
      </c>
      <c r="G2" s="5" t="n">
        <v>12</v>
      </c>
      <c r="H2" s="5">
        <f>E2+F2-G2</f>
        <v/>
      </c>
      <c r="I2" s="5" t="n">
        <v>5</v>
      </c>
      <c r="J2" s="5">
        <f>IF(H2&lt;I2,"Low Stock","OK")</f>
        <v/>
      </c>
      <c r="K2" s="4" t="n">
        <v>45682</v>
      </c>
    </row>
    <row r="3">
      <c r="A3" s="3" t="inlineStr">
        <is>
          <t>AC002</t>
        </is>
      </c>
      <c r="B3" s="3" t="inlineStr">
        <is>
          <t>Floor Mop</t>
        </is>
      </c>
      <c r="C3" s="3" t="inlineStr">
        <is>
          <t>Brushes &amp; Mops</t>
        </is>
      </c>
      <c r="D3" s="3" t="inlineStr">
        <is>
          <t>Pieces</t>
        </is>
      </c>
      <c r="E3" s="3" t="n">
        <v>20</v>
      </c>
      <c r="F3" s="3" t="n">
        <v>30</v>
      </c>
      <c r="G3" s="3" t="n">
        <v>25</v>
      </c>
      <c r="H3" s="3">
        <f>E3+F3-G3</f>
        <v/>
      </c>
      <c r="I3" s="3" t="n">
        <v>10</v>
      </c>
      <c r="J3" s="3">
        <f>IF(H3&lt;I3,"Low Stock","OK")</f>
        <v/>
      </c>
      <c r="K3" s="8" t="n">
        <v>45682</v>
      </c>
    </row>
    <row r="4">
      <c r="A4" s="5" t="inlineStr">
        <is>
          <t>AC003</t>
        </is>
      </c>
      <c r="B4" s="5" t="inlineStr">
        <is>
          <t>Microfiber Cloth</t>
        </is>
      </c>
      <c r="C4" s="5" t="inlineStr">
        <is>
          <t>Cloths &amp; Wipes</t>
        </is>
      </c>
      <c r="D4" s="5" t="inlineStr">
        <is>
          <t>Pieces</t>
        </is>
      </c>
      <c r="E4" s="5" t="n">
        <v>50</v>
      </c>
      <c r="F4" s="5" t="n">
        <v>100</v>
      </c>
      <c r="G4" s="5" t="n">
        <v>80</v>
      </c>
      <c r="H4" s="5">
        <f>E4+F4-G4</f>
        <v/>
      </c>
      <c r="I4" s="5" t="n">
        <v>25</v>
      </c>
      <c r="J4" s="5">
        <f>IF(H4&lt;I4,"Low Stock","OK")</f>
        <v/>
      </c>
      <c r="K4" s="4" t="n">
        <v>45682</v>
      </c>
    </row>
    <row r="5">
      <c r="A5" s="3" t="inlineStr">
        <is>
          <t>AC004</t>
        </is>
      </c>
      <c r="B5" s="3" t="inlineStr">
        <is>
          <t>Rubber Gloves</t>
        </is>
      </c>
      <c r="C5" s="3" t="inlineStr">
        <is>
          <t>Gloves &amp; Safety</t>
        </is>
      </c>
      <c r="D5" s="3" t="inlineStr">
        <is>
          <t>Pairs</t>
        </is>
      </c>
      <c r="E5" s="3" t="n">
        <v>30</v>
      </c>
      <c r="F5" s="3" t="n">
        <v>50</v>
      </c>
      <c r="G5" s="3" t="n">
        <v>40</v>
      </c>
      <c r="H5" s="3">
        <f>E5+F5-G5</f>
        <v/>
      </c>
      <c r="I5" s="3" t="n">
        <v>15</v>
      </c>
      <c r="J5" s="3">
        <f>IF(H5&lt;I5,"Low Stock","OK")</f>
        <v/>
      </c>
      <c r="K5" s="8" t="n">
        <v>45682</v>
      </c>
    </row>
    <row r="6">
      <c r="A6" s="5" t="inlineStr">
        <is>
          <t>AC005</t>
        </is>
      </c>
      <c r="B6" s="5" t="inlineStr">
        <is>
          <t>Spray Bottles</t>
        </is>
      </c>
      <c r="C6" s="5" t="inlineStr">
        <is>
          <t>Other</t>
        </is>
      </c>
      <c r="D6" s="5" t="inlineStr">
        <is>
          <t>Pieces</t>
        </is>
      </c>
      <c r="E6" s="5" t="n">
        <v>20</v>
      </c>
      <c r="F6" s="5" t="n">
        <v>30</v>
      </c>
      <c r="G6" s="5" t="n">
        <v>22</v>
      </c>
      <c r="H6" s="5">
        <f>E6+F6-G6</f>
        <v/>
      </c>
      <c r="I6" s="5" t="n">
        <v>10</v>
      </c>
      <c r="J6" s="5">
        <f>IF(H6&lt;I6,"Low Stock","OK")</f>
        <v/>
      </c>
      <c r="K6" s="4" t="n">
        <v>45682</v>
      </c>
    </row>
  </sheetData>
  <conditionalFormatting sqref="J2:J1000">
    <cfRule type="expression" priority="1" dxfId="0">
      <formula>J2="Low Stock"</formula>
    </cfRule>
    <cfRule type="expression" priority="2" dxfId="1">
      <formula>J2="OK"</formula>
    </cfRule>
  </conditionalFormatting>
  <dataValidations count="1">
    <dataValidation sqref="C2:C1000" showDropDown="0" showInputMessage="0" showErrorMessage="0" allowBlank="1" type="list">
      <formula1>"Pipes &amp; Hoses,Brushes &amp; Mops,Cloths &amp; Wipes,Gloves &amp; Safety,Tools,Other"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" t="inlineStr">
        <is>
          <t>Date</t>
        </is>
      </c>
      <c r="B1" s="2" t="inlineStr">
        <is>
          <t>Transaction ID</t>
        </is>
      </c>
      <c r="C1" s="2" t="inlineStr">
        <is>
          <t>Item Type</t>
        </is>
      </c>
      <c r="D1" s="2" t="inlineStr">
        <is>
          <t>Item ID</t>
        </is>
      </c>
      <c r="E1" s="2" t="inlineStr">
        <is>
          <t>Item Name</t>
        </is>
      </c>
      <c r="F1" s="2" t="inlineStr">
        <is>
          <t>Transaction Type</t>
        </is>
      </c>
      <c r="G1" s="2" t="inlineStr">
        <is>
          <t>Quantity</t>
        </is>
      </c>
      <c r="H1" s="2" t="inlineStr">
        <is>
          <t>Unit Rate (₹)</t>
        </is>
      </c>
      <c r="I1" s="2" t="inlineStr">
        <is>
          <t>GST %</t>
        </is>
      </c>
      <c r="J1" s="2" t="inlineStr">
        <is>
          <t>GST Amount (₹)</t>
        </is>
      </c>
      <c r="K1" s="2" t="inlineStr">
        <is>
          <t>Total Cost (₹)</t>
        </is>
      </c>
      <c r="L1" s="2" t="inlineStr">
        <is>
          <t>Project/Team</t>
        </is>
      </c>
      <c r="M1" s="2" t="inlineStr">
        <is>
          <t>Notes</t>
        </is>
      </c>
    </row>
    <row r="2">
      <c r="A2" s="4" t="n">
        <v>45659</v>
      </c>
      <c r="B2" s="5" t="inlineStr">
        <is>
          <t>TXN001</t>
        </is>
      </c>
      <c r="C2" s="5" t="inlineStr">
        <is>
          <t>Chemical</t>
        </is>
      </c>
      <c r="D2" s="5" t="inlineStr">
        <is>
          <t>CH001</t>
        </is>
      </c>
      <c r="E2" s="5" t="inlineStr">
        <is>
          <t>Floor Cleaner</t>
        </is>
      </c>
      <c r="F2" s="5" t="inlineStr">
        <is>
          <t>Purchase</t>
        </is>
      </c>
      <c r="G2" s="5" t="n">
        <v>50</v>
      </c>
      <c r="H2" s="6" t="n">
        <v>120</v>
      </c>
      <c r="I2" s="7" t="n">
        <v>0.18</v>
      </c>
      <c r="J2" s="6">
        <f>G2*H2*I2</f>
        <v/>
      </c>
      <c r="K2" s="6">
        <f>G2*H2+J2</f>
        <v/>
      </c>
      <c r="L2" s="5" t="inlineStr">
        <is>
          <t>Warehouse</t>
        </is>
      </c>
      <c r="M2" s="5" t="n"/>
    </row>
    <row r="3">
      <c r="A3" s="8" t="n">
        <v>45662</v>
      </c>
      <c r="B3" s="3" t="inlineStr">
        <is>
          <t>TXN002</t>
        </is>
      </c>
      <c r="C3" s="3" t="inlineStr">
        <is>
          <t>Accessory</t>
        </is>
      </c>
      <c r="D3" s="3" t="inlineStr">
        <is>
          <t>AC003</t>
        </is>
      </c>
      <c r="E3" s="3" t="inlineStr">
        <is>
          <t>Microfiber Cloth</t>
        </is>
      </c>
      <c r="F3" s="3" t="inlineStr">
        <is>
          <t>Purchase</t>
        </is>
      </c>
      <c r="G3" s="3" t="n">
        <v>50</v>
      </c>
      <c r="H3" s="9" t="n">
        <v>80</v>
      </c>
      <c r="I3" s="10" t="n">
        <v>0.18</v>
      </c>
      <c r="J3" s="9">
        <f>G3*H3*I3</f>
        <v/>
      </c>
      <c r="K3" s="9">
        <f>G3*H3+J3</f>
        <v/>
      </c>
      <c r="L3" s="3" t="inlineStr">
        <is>
          <t>Warehouse</t>
        </is>
      </c>
      <c r="M3" s="3" t="n"/>
    </row>
    <row r="4">
      <c r="A4" s="4" t="n">
        <v>45663</v>
      </c>
      <c r="B4" s="5" t="inlineStr">
        <is>
          <t>TXN003</t>
        </is>
      </c>
      <c r="C4" s="5" t="inlineStr">
        <is>
          <t>Chemical</t>
        </is>
      </c>
      <c r="D4" s="5" t="inlineStr">
        <is>
          <t>CH001</t>
        </is>
      </c>
      <c r="E4" s="5" t="inlineStr">
        <is>
          <t>Floor Cleaner</t>
        </is>
      </c>
      <c r="F4" s="5" t="inlineStr">
        <is>
          <t>Used</t>
        </is>
      </c>
      <c r="G4" s="5" t="n">
        <v>20</v>
      </c>
      <c r="H4" s="6" t="n">
        <v>0</v>
      </c>
      <c r="I4" s="7" t="n">
        <v>0</v>
      </c>
      <c r="J4" s="6">
        <f>G4*H4*I4</f>
        <v/>
      </c>
      <c r="K4" s="6">
        <f>G4*H4+J4</f>
        <v/>
      </c>
      <c r="L4" s="5" t="inlineStr">
        <is>
          <t>Team A</t>
        </is>
      </c>
      <c r="M4" s="5" t="n"/>
    </row>
    <row r="5">
      <c r="A5" s="8" t="n">
        <v>45665</v>
      </c>
      <c r="B5" s="3" t="inlineStr">
        <is>
          <t>TXN004</t>
        </is>
      </c>
      <c r="C5" s="3" t="inlineStr">
        <is>
          <t>Accessory</t>
        </is>
      </c>
      <c r="D5" s="3" t="inlineStr">
        <is>
          <t>AC004</t>
        </is>
      </c>
      <c r="E5" s="3" t="inlineStr">
        <is>
          <t>Rubber Gloves</t>
        </is>
      </c>
      <c r="F5" s="3" t="inlineStr">
        <is>
          <t>Used</t>
        </is>
      </c>
      <c r="G5" s="3" t="n">
        <v>10</v>
      </c>
      <c r="H5" s="9" t="n">
        <v>0</v>
      </c>
      <c r="I5" s="10" t="n">
        <v>0</v>
      </c>
      <c r="J5" s="9">
        <f>G5*H5*I5</f>
        <v/>
      </c>
      <c r="K5" s="9">
        <f>G5*H5+J5</f>
        <v/>
      </c>
      <c r="L5" s="3" t="inlineStr">
        <is>
          <t>Team B</t>
        </is>
      </c>
      <c r="M5" s="3" t="n"/>
    </row>
    <row r="6">
      <c r="A6" s="4" t="n">
        <v>45667</v>
      </c>
      <c r="B6" s="5" t="inlineStr">
        <is>
          <t>TXN005</t>
        </is>
      </c>
      <c r="C6" s="5" t="inlineStr">
        <is>
          <t>Chemical</t>
        </is>
      </c>
      <c r="D6" s="5" t="inlineStr">
        <is>
          <t>CH002</t>
        </is>
      </c>
      <c r="E6" s="5" t="inlineStr">
        <is>
          <t>Glass Cleaner</t>
        </is>
      </c>
      <c r="F6" s="5" t="inlineStr">
        <is>
          <t>Purchase</t>
        </is>
      </c>
      <c r="G6" s="5" t="n">
        <v>25</v>
      </c>
      <c r="H6" s="6" t="n">
        <v>95</v>
      </c>
      <c r="I6" s="7" t="n">
        <v>0.18</v>
      </c>
      <c r="J6" s="6">
        <f>G6*H6*I6</f>
        <v/>
      </c>
      <c r="K6" s="6">
        <f>G6*H6+J6</f>
        <v/>
      </c>
      <c r="L6" s="5" t="inlineStr">
        <is>
          <t>Warehouse</t>
        </is>
      </c>
      <c r="M6" s="5" t="n"/>
    </row>
  </sheetData>
  <dataValidations count="3">
    <dataValidation sqref="C2:C1000" showDropDown="0" showInputMessage="0" showErrorMessage="0" allowBlank="1" type="list">
      <formula1>"Chemical,Accessory,Machine,Spare Part"</formula1>
    </dataValidation>
    <dataValidation sqref="F2:F1000" showDropDown="0" showInputMessage="0" showErrorMessage="0" allowBlank="1" type="list">
      <formula1>"Purchase,Used,Returned,Damaged"</formula1>
    </dataValidation>
    <dataValidation sqref="I2:I1000" showDropDown="0" showInputMessage="0" showErrorMessage="0" allowBlank="1" type="list">
      <formula1>"0%,5%,12%,18%"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3" t="inlineStr">
        <is>
          <t>INCOME SUMMARY REPORT</t>
        </is>
      </c>
    </row>
    <row r="3">
      <c r="A3" s="14" t="inlineStr">
        <is>
          <t>SERVICE-WISE REVENUE</t>
        </is>
      </c>
    </row>
    <row r="4">
      <c r="A4" s="2" t="inlineStr">
        <is>
          <t>Service Type</t>
        </is>
      </c>
      <c r="B4" s="2" t="inlineStr">
        <is>
          <t>Base Revenue (₹)</t>
        </is>
      </c>
      <c r="C4" s="2" t="inlineStr">
        <is>
          <t>Discount (₹)</t>
        </is>
      </c>
      <c r="D4" s="2" t="inlineStr">
        <is>
          <t>GST Collected (₹)</t>
        </is>
      </c>
      <c r="E4" s="2" t="inlineStr">
        <is>
          <t>Total Revenue (₹)</t>
        </is>
      </c>
      <c r="F4" s="2" t="inlineStr">
        <is>
          <t>Orders</t>
        </is>
      </c>
    </row>
    <row r="5">
      <c r="A5" s="3" t="inlineStr">
        <is>
          <t>Deep Cleaning</t>
        </is>
      </c>
      <c r="B5" s="9">
        <f>SUMIF('Income Tracker'!D:D,A5,'Income Tracker'!G:G)</f>
        <v/>
      </c>
      <c r="C5" s="9">
        <f>SUMIF('Income Tracker'!D:D,A5,'Income Tracker'!I:I)</f>
        <v/>
      </c>
      <c r="D5" s="9">
        <f>SUMIF('Income Tracker'!D:D,A5,'Income Tracker'!L:L)</f>
        <v/>
      </c>
      <c r="E5" s="9">
        <f>SUMIF('Income Tracker'!D:D,A5,'Income Tracker'!M:M)</f>
        <v/>
      </c>
      <c r="F5" s="3">
        <f>COUNTIF('Income Tracker'!D:D,A5)</f>
        <v/>
      </c>
    </row>
    <row r="6">
      <c r="A6" s="5" t="inlineStr">
        <is>
          <t>Regular Cleaning</t>
        </is>
      </c>
      <c r="B6" s="6">
        <f>SUMIF('Income Tracker'!D:D,A6,'Income Tracker'!G:G)</f>
        <v/>
      </c>
      <c r="C6" s="6">
        <f>SUMIF('Income Tracker'!D:D,A6,'Income Tracker'!I:I)</f>
        <v/>
      </c>
      <c r="D6" s="6">
        <f>SUMIF('Income Tracker'!D:D,A6,'Income Tracker'!L:L)</f>
        <v/>
      </c>
      <c r="E6" s="6">
        <f>SUMIF('Income Tracker'!D:D,A6,'Income Tracker'!M:M)</f>
        <v/>
      </c>
      <c r="F6" s="5">
        <f>COUNTIF('Income Tracker'!D:D,A6)</f>
        <v/>
      </c>
    </row>
    <row r="7">
      <c r="A7" s="3" t="inlineStr">
        <is>
          <t>Pest Control</t>
        </is>
      </c>
      <c r="B7" s="9">
        <f>SUMIF('Income Tracker'!D:D,A7,'Income Tracker'!G:G)</f>
        <v/>
      </c>
      <c r="C7" s="9">
        <f>SUMIF('Income Tracker'!D:D,A7,'Income Tracker'!I:I)</f>
        <v/>
      </c>
      <c r="D7" s="9">
        <f>SUMIF('Income Tracker'!D:D,A7,'Income Tracker'!L:L)</f>
        <v/>
      </c>
      <c r="E7" s="9">
        <f>SUMIF('Income Tracker'!D:D,A7,'Income Tracker'!M:M)</f>
        <v/>
      </c>
      <c r="F7" s="3">
        <f>COUNTIF('Income Tracker'!D:D,A7)</f>
        <v/>
      </c>
    </row>
    <row r="8">
      <c r="A8" s="5" t="inlineStr">
        <is>
          <t>Painting</t>
        </is>
      </c>
      <c r="B8" s="6">
        <f>SUMIF('Income Tracker'!D:D,A8,'Income Tracker'!G:G)</f>
        <v/>
      </c>
      <c r="C8" s="6">
        <f>SUMIF('Income Tracker'!D:D,A8,'Income Tracker'!I:I)</f>
        <v/>
      </c>
      <c r="D8" s="6">
        <f>SUMIF('Income Tracker'!D:D,A8,'Income Tracker'!L:L)</f>
        <v/>
      </c>
      <c r="E8" s="6">
        <f>SUMIF('Income Tracker'!D:D,A8,'Income Tracker'!M:M)</f>
        <v/>
      </c>
      <c r="F8" s="5">
        <f>COUNTIF('Income Tracker'!D:D,A8)</f>
        <v/>
      </c>
    </row>
    <row r="9">
      <c r="A9" s="3" t="inlineStr">
        <is>
          <t>Plumbing</t>
        </is>
      </c>
      <c r="B9" s="9">
        <f>SUMIF('Income Tracker'!D:D,A9,'Income Tracker'!G:G)</f>
        <v/>
      </c>
      <c r="C9" s="9">
        <f>SUMIF('Income Tracker'!D:D,A9,'Income Tracker'!I:I)</f>
        <v/>
      </c>
      <c r="D9" s="9">
        <f>SUMIF('Income Tracker'!D:D,A9,'Income Tracker'!L:L)</f>
        <v/>
      </c>
      <c r="E9" s="9">
        <f>SUMIF('Income Tracker'!D:D,A9,'Income Tracker'!M:M)</f>
        <v/>
      </c>
      <c r="F9" s="3">
        <f>COUNTIF('Income Tracker'!D:D,A9)</f>
        <v/>
      </c>
    </row>
    <row r="10">
      <c r="A10" s="5" t="inlineStr">
        <is>
          <t>Electrical</t>
        </is>
      </c>
      <c r="B10" s="6">
        <f>SUMIF('Income Tracker'!D:D,A10,'Income Tracker'!G:G)</f>
        <v/>
      </c>
      <c r="C10" s="6">
        <f>SUMIF('Income Tracker'!D:D,A10,'Income Tracker'!I:I)</f>
        <v/>
      </c>
      <c r="D10" s="6">
        <f>SUMIF('Income Tracker'!D:D,A10,'Income Tracker'!L:L)</f>
        <v/>
      </c>
      <c r="E10" s="6">
        <f>SUMIF('Income Tracker'!D:D,A10,'Income Tracker'!M:M)</f>
        <v/>
      </c>
      <c r="F10" s="5">
        <f>COUNTIF('Income Tracker'!D:D,A10)</f>
        <v/>
      </c>
    </row>
    <row r="11">
      <c r="A11" s="3" t="inlineStr">
        <is>
          <t>Carpentry</t>
        </is>
      </c>
      <c r="B11" s="9">
        <f>SUMIF('Income Tracker'!D:D,A11,'Income Tracker'!G:G)</f>
        <v/>
      </c>
      <c r="C11" s="9">
        <f>SUMIF('Income Tracker'!D:D,A11,'Income Tracker'!I:I)</f>
        <v/>
      </c>
      <c r="D11" s="9">
        <f>SUMIF('Income Tracker'!D:D,A11,'Income Tracker'!L:L)</f>
        <v/>
      </c>
      <c r="E11" s="9">
        <f>SUMIF('Income Tracker'!D:D,A11,'Income Tracker'!M:M)</f>
        <v/>
      </c>
      <c r="F11" s="3">
        <f>COUNTIF('Income Tracker'!D:D,A11)</f>
        <v/>
      </c>
    </row>
    <row r="12">
      <c r="A12" s="5" t="inlineStr">
        <is>
          <t>AC Service</t>
        </is>
      </c>
      <c r="B12" s="6">
        <f>SUMIF('Income Tracker'!D:D,A12,'Income Tracker'!G:G)</f>
        <v/>
      </c>
      <c r="C12" s="6">
        <f>SUMIF('Income Tracker'!D:D,A12,'Income Tracker'!I:I)</f>
        <v/>
      </c>
      <c r="D12" s="6">
        <f>SUMIF('Income Tracker'!D:D,A12,'Income Tracker'!L:L)</f>
        <v/>
      </c>
      <c r="E12" s="6">
        <f>SUMIF('Income Tracker'!D:D,A12,'Income Tracker'!M:M)</f>
        <v/>
      </c>
      <c r="F12" s="5">
        <f>COUNTIF('Income Tracker'!D:D,A12)</f>
        <v/>
      </c>
    </row>
    <row r="13">
      <c r="A13" s="15" t="inlineStr">
        <is>
          <t>TOTAL</t>
        </is>
      </c>
      <c r="B13" s="16">
        <f>SUM(B5:B12)</f>
        <v/>
      </c>
      <c r="C13" s="16">
        <f>SUM(C5:C12)</f>
        <v/>
      </c>
      <c r="D13" s="16">
        <f>SUM(D5:D12)</f>
        <v/>
      </c>
      <c r="E13" s="16">
        <f>SUM(E5:E12)</f>
        <v/>
      </c>
      <c r="F13" s="15">
        <f>SUM(F5:F12)</f>
        <v/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EXPENSE SUMMARY REPORT</t>
        </is>
      </c>
    </row>
    <row r="3">
      <c r="A3" s="14" t="inlineStr">
        <is>
          <t>CATEGORY-WISE EXPENSES</t>
        </is>
      </c>
    </row>
    <row r="4">
      <c r="A4" s="2" t="inlineStr">
        <is>
          <t>Category</t>
        </is>
      </c>
      <c r="B4" s="2" t="inlineStr">
        <is>
          <t>Base Amount (₹)</t>
        </is>
      </c>
      <c r="C4" s="2" t="inlineStr">
        <is>
          <t>GST Paid (₹)</t>
        </is>
      </c>
      <c r="D4" s="2" t="inlineStr">
        <is>
          <t>Total Amount (₹)</t>
        </is>
      </c>
      <c r="E4" s="2" t="inlineStr">
        <is>
          <t>Count</t>
        </is>
      </c>
    </row>
    <row r="5">
      <c r="A5" s="3" t="inlineStr">
        <is>
          <t>Vendor Payment</t>
        </is>
      </c>
      <c r="B5" s="9">
        <f>SUMIF('Expense Tracker'!C:C,A5,'Expense Tracker'!F:F)</f>
        <v/>
      </c>
      <c r="C5" s="9">
        <f>SUMIF('Expense Tracker'!C:C,A5,'Expense Tracker'!H:H)</f>
        <v/>
      </c>
      <c r="D5" s="9">
        <f>SUMIF('Expense Tracker'!C:C,A5,'Expense Tracker'!I:I)</f>
        <v/>
      </c>
      <c r="E5" s="3">
        <f>COUNTIF('Expense Tracker'!C:C,A5)</f>
        <v/>
      </c>
    </row>
    <row r="6">
      <c r="A6" s="5" t="inlineStr">
        <is>
          <t>Travel &amp; Fuel</t>
        </is>
      </c>
      <c r="B6" s="6">
        <f>SUMIF('Expense Tracker'!C:C,A6,'Expense Tracker'!F:F)</f>
        <v/>
      </c>
      <c r="C6" s="6">
        <f>SUMIF('Expense Tracker'!C:C,A6,'Expense Tracker'!H:H)</f>
        <v/>
      </c>
      <c r="D6" s="6">
        <f>SUMIF('Expense Tracker'!C:C,A6,'Expense Tracker'!I:I)</f>
        <v/>
      </c>
      <c r="E6" s="5">
        <f>COUNTIF('Expense Tracker'!C:C,A6)</f>
        <v/>
      </c>
    </row>
    <row r="7">
      <c r="A7" s="3" t="inlineStr">
        <is>
          <t>Marketing</t>
        </is>
      </c>
      <c r="B7" s="9">
        <f>SUMIF('Expense Tracker'!C:C,A7,'Expense Tracker'!F:F)</f>
        <v/>
      </c>
      <c r="C7" s="9">
        <f>SUMIF('Expense Tracker'!C:C,A7,'Expense Tracker'!H:H)</f>
        <v/>
      </c>
      <c r="D7" s="9">
        <f>SUMIF('Expense Tracker'!C:C,A7,'Expense Tracker'!I:I)</f>
        <v/>
      </c>
      <c r="E7" s="3">
        <f>COUNTIF('Expense Tracker'!C:C,A7)</f>
        <v/>
      </c>
    </row>
    <row r="8">
      <c r="A8" s="5" t="inlineStr">
        <is>
          <t>Office Expenses</t>
        </is>
      </c>
      <c r="B8" s="6">
        <f>SUMIF('Expense Tracker'!C:C,A8,'Expense Tracker'!F:F)</f>
        <v/>
      </c>
      <c r="C8" s="6">
        <f>SUMIF('Expense Tracker'!C:C,A8,'Expense Tracker'!H:H)</f>
        <v/>
      </c>
      <c r="D8" s="6">
        <f>SUMIF('Expense Tracker'!C:C,A8,'Expense Tracker'!I:I)</f>
        <v/>
      </c>
      <c r="E8" s="5">
        <f>COUNTIF('Expense Tracker'!C:C,A8)</f>
        <v/>
      </c>
    </row>
    <row r="9">
      <c r="A9" s="3" t="inlineStr">
        <is>
          <t>Miscellaneous</t>
        </is>
      </c>
      <c r="B9" s="9">
        <f>SUMIF('Expense Tracker'!C:C,A9,'Expense Tracker'!F:F)</f>
        <v/>
      </c>
      <c r="C9" s="9">
        <f>SUMIF('Expense Tracker'!C:C,A9,'Expense Tracker'!H:H)</f>
        <v/>
      </c>
      <c r="D9" s="9">
        <f>SUMIF('Expense Tracker'!C:C,A9,'Expense Tracker'!I:I)</f>
        <v/>
      </c>
      <c r="E9" s="3">
        <f>COUNTIF('Expense Tracker'!C:C,A9)</f>
        <v/>
      </c>
    </row>
    <row r="10">
      <c r="A10" s="17" t="inlineStr">
        <is>
          <t>TOTAL</t>
        </is>
      </c>
      <c r="B10" s="18">
        <f>SUM(B5:B9)</f>
        <v/>
      </c>
      <c r="C10" s="18">
        <f>SUM(C5:C9)</f>
        <v/>
      </c>
      <c r="D10" s="18">
        <f>SUM(D5:D9)</f>
        <v/>
      </c>
      <c r="E10" s="17">
        <f>SUM(E5:E9)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13" t="inlineStr">
        <is>
          <t>GST SUMMARY REPORT</t>
        </is>
      </c>
    </row>
    <row r="3">
      <c r="A3" s="19" t="inlineStr">
        <is>
          <t>GST COLLECTED (OUTPUT TAX)</t>
        </is>
      </c>
    </row>
    <row r="4">
      <c r="A4" s="2" t="inlineStr">
        <is>
          <t>Source</t>
        </is>
      </c>
      <c r="B4" s="2" t="inlineStr">
        <is>
          <t>Base Amount (₹)</t>
        </is>
      </c>
      <c r="C4" s="2" t="inlineStr">
        <is>
          <t>GST Amount (₹)</t>
        </is>
      </c>
    </row>
    <row r="5">
      <c r="A5" s="3" t="inlineStr">
        <is>
          <t>Service Revenue</t>
        </is>
      </c>
      <c r="B5" s="9">
        <f>SUM('Income Tracker'!J:J)</f>
        <v/>
      </c>
      <c r="C5" s="9">
        <f>SUM('Income Tracker'!L:L)</f>
        <v/>
      </c>
    </row>
    <row r="6">
      <c r="A6" s="17" t="inlineStr">
        <is>
          <t>TOTAL GST COLLECTED</t>
        </is>
      </c>
      <c r="B6" s="6">
        <f>B5</f>
        <v/>
      </c>
      <c r="C6" s="20">
        <f>C5</f>
        <v/>
      </c>
    </row>
    <row r="9">
      <c r="A9" s="21" t="inlineStr">
        <is>
          <t>GST PAID (INPUT TAX)</t>
        </is>
      </c>
    </row>
    <row r="10">
      <c r="A10" s="2" t="inlineStr">
        <is>
          <t>Source</t>
        </is>
      </c>
      <c r="B10" s="2" t="inlineStr">
        <is>
          <t>Base Amount (₹)</t>
        </is>
      </c>
      <c r="C10" s="2" t="inlineStr">
        <is>
          <t>GST Amount (₹)</t>
        </is>
      </c>
    </row>
    <row r="11">
      <c r="A11" s="3" t="inlineStr">
        <is>
          <t>Expenses</t>
        </is>
      </c>
      <c r="B11" s="9">
        <f>SUM('Expense Tracker'!F:F)</f>
        <v/>
      </c>
      <c r="C11" s="9">
        <f>SUM('Expense Tracker'!H:H)</f>
        <v/>
      </c>
    </row>
    <row r="12">
      <c r="A12" s="5" t="inlineStr">
        <is>
          <t>Stock Purchases</t>
        </is>
      </c>
      <c r="B12" s="6">
        <f>SUM('Stock Purchases'!K:K)</f>
        <v/>
      </c>
      <c r="C12" s="6">
        <f>SUM('Stock Purchases'!M:M)</f>
        <v/>
      </c>
    </row>
    <row r="13">
      <c r="A13" s="3" t="inlineStr">
        <is>
          <t>Machine Purchases</t>
        </is>
      </c>
      <c r="B13" s="9">
        <f>SUM('Machines &amp; Equipment'!H:H)</f>
        <v/>
      </c>
      <c r="C13" s="9">
        <f>SUM('Machines &amp; Equipment'!J:J)</f>
        <v/>
      </c>
    </row>
    <row r="14">
      <c r="A14" s="5" t="inlineStr">
        <is>
          <t>Maintenance</t>
        </is>
      </c>
      <c r="B14" s="6">
        <f>SUM('Machine Maintenance'!F:F)</f>
        <v/>
      </c>
      <c r="C14" s="6">
        <f>SUM('Machine Maintenance'!H:H)</f>
        <v/>
      </c>
    </row>
    <row r="15">
      <c r="A15" s="15" t="inlineStr">
        <is>
          <t>TOTAL GST PAID</t>
        </is>
      </c>
      <c r="B15" s="9">
        <f>SUM(B11:B14)</f>
        <v/>
      </c>
      <c r="C15" s="22">
        <f>SUM(C11:C14)</f>
        <v/>
      </c>
    </row>
    <row r="18">
      <c r="A18" s="23" t="inlineStr">
        <is>
          <t>NET GST PAYABLE</t>
        </is>
      </c>
      <c r="C18" s="24">
        <f>C6-C15</f>
        <v/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3" t="inlineStr">
        <is>
          <t>TDS SUMMARY REPORT</t>
        </is>
      </c>
    </row>
    <row r="2">
      <c r="A2" s="25" t="inlineStr">
        <is>
          <t>(For TDS Filing - Section 194C)</t>
        </is>
      </c>
    </row>
    <row r="4">
      <c r="A4" s="14" t="inlineStr">
        <is>
          <t>TDS DEDUCTED FROM CONTRACTORS</t>
        </is>
      </c>
    </row>
    <row r="5">
      <c r="A5" s="2" t="inlineStr">
        <is>
          <t>Metric</t>
        </is>
      </c>
      <c r="B5" s="2" t="inlineStr">
        <is>
          <t>Amount (₹)</t>
        </is>
      </c>
    </row>
    <row r="6">
      <c r="A6" s="5" t="inlineStr">
        <is>
          <t>Total Contractor Payments (Gross)</t>
        </is>
      </c>
      <c r="B6" s="6">
        <f>SUM('Contractor Payments'!G:G)</f>
        <v/>
      </c>
    </row>
    <row r="7">
      <c r="A7" s="3" t="inlineStr">
        <is>
          <t>Total TDS Deducted</t>
        </is>
      </c>
      <c r="B7" s="9">
        <f>SUM('Contractor Payments'!I:I)</f>
        <v/>
      </c>
    </row>
    <row r="8">
      <c r="A8" s="5" t="inlineStr">
        <is>
          <t>Total Net Paid to Contractors</t>
        </is>
      </c>
      <c r="B8" s="6">
        <f>SUM('Contractor Payments'!J:J)</f>
        <v/>
      </c>
    </row>
    <row r="9">
      <c r="A9" s="3" t="inlineStr">
        <is>
          <t>TDS Deposited</t>
        </is>
      </c>
      <c r="B9" s="9">
        <f>SUMIF('Contractor Payments'!N:N,"Yes",'Contractor Payments'!I:I)</f>
        <v/>
      </c>
    </row>
    <row r="10">
      <c r="A10" s="5" t="inlineStr">
        <is>
          <t>TDS Pending Deposit</t>
        </is>
      </c>
      <c r="B10" s="26">
        <f>B7-B9</f>
        <v/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3" t="inlineStr">
        <is>
          <t>PROFITABILITY ANALYSIS</t>
        </is>
      </c>
    </row>
    <row r="3">
      <c r="A3" s="14" t="inlineStr">
        <is>
          <t>ACTUAL NET PROFIT CALCULATION</t>
        </is>
      </c>
    </row>
    <row r="4">
      <c r="A4" s="2" t="inlineStr">
        <is>
          <t>Description</t>
        </is>
      </c>
      <c r="B4" s="2" t="inlineStr">
        <is>
          <t>Amount (₹)</t>
        </is>
      </c>
    </row>
    <row r="5">
      <c r="A5" s="3" t="inlineStr">
        <is>
          <t>TOTAL REVENUE (After Discount, excl. GST)</t>
        </is>
      </c>
      <c r="B5" s="27">
        <f>SUM('Income Tracker'!J:J)</f>
        <v/>
      </c>
    </row>
    <row r="6">
      <c r="A6" s="5" t="inlineStr"/>
      <c r="B6" s="5" t="n"/>
    </row>
    <row r="7">
      <c r="A7" s="3" t="inlineStr">
        <is>
          <t>Less: Operating Expenses</t>
        </is>
      </c>
      <c r="B7" s="28">
        <f>SUM('Expense Tracker'!F:F)</f>
        <v/>
      </c>
    </row>
    <row r="8">
      <c r="A8" s="5" t="inlineStr">
        <is>
          <t>Less: Employee Salaries</t>
        </is>
      </c>
      <c r="B8" s="29">
        <f>SUM('Employee Salaries'!N:N)</f>
        <v/>
      </c>
    </row>
    <row r="9">
      <c r="A9" s="3" t="inlineStr">
        <is>
          <t>Less: Contractor Payments</t>
        </is>
      </c>
      <c r="B9" s="28">
        <f>SUM('Contractor Payments'!J:J)</f>
        <v/>
      </c>
    </row>
    <row r="10">
      <c r="A10" s="5" t="inlineStr">
        <is>
          <t>Less: Stock Purchases</t>
        </is>
      </c>
      <c r="B10" s="29">
        <f>SUM('Stock Purchases'!K:K)</f>
        <v/>
      </c>
    </row>
    <row r="11">
      <c r="A11" s="3" t="inlineStr">
        <is>
          <t>Less: Machine Maintenance</t>
        </is>
      </c>
      <c r="B11" s="28">
        <f>SUM('Machine Maintenance'!F:F)</f>
        <v/>
      </c>
    </row>
    <row r="12">
      <c r="A12" s="5" t="inlineStr"/>
      <c r="B12" s="5" t="n"/>
    </row>
    <row r="13">
      <c r="A13" s="15" t="inlineStr">
        <is>
          <t>TOTAL EXPENSES</t>
        </is>
      </c>
      <c r="B13" s="22">
        <f>B6+B7+B8+B9+B10</f>
        <v/>
      </c>
    </row>
    <row r="14">
      <c r="A14" s="5" t="inlineStr"/>
      <c r="B14" s="30" t="n"/>
    </row>
    <row r="15">
      <c r="A15" s="15" t="inlineStr">
        <is>
          <t>NET PROFIT / (LOSS)</t>
        </is>
      </c>
      <c r="B15" s="31">
        <f>B5-B12</f>
        <v/>
      </c>
    </row>
    <row r="16">
      <c r="A16" s="5" t="inlineStr"/>
      <c r="B16" s="5" t="n"/>
    </row>
    <row r="17">
      <c r="A17" s="3" t="inlineStr">
        <is>
          <t>Net Profit Margin %</t>
        </is>
      </c>
      <c r="B17" s="32">
        <f>IF(B5&gt;0,B14/B5,0)</f>
        <v/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3" t="inlineStr">
        <is>
          <t>STOCK &amp; INVENTORY REPORTS</t>
        </is>
      </c>
    </row>
    <row r="3">
      <c r="A3" s="14" t="inlineStr">
        <is>
          <t>ASSET VALUE SUMMARY</t>
        </is>
      </c>
    </row>
    <row r="4">
      <c r="A4" s="2" t="inlineStr">
        <is>
          <t>Category</t>
        </is>
      </c>
      <c r="B4" s="2" t="inlineStr">
        <is>
          <t>Base Value (₹)</t>
        </is>
      </c>
      <c r="C4" s="2" t="inlineStr">
        <is>
          <t>GST (₹)</t>
        </is>
      </c>
      <c r="D4" s="2" t="inlineStr">
        <is>
          <t>Total (₹)</t>
        </is>
      </c>
    </row>
    <row r="5">
      <c r="A5" s="3" t="inlineStr">
        <is>
          <t>Cleaning Machine</t>
        </is>
      </c>
      <c r="B5" s="9">
        <f>SUMIF('Machines &amp; Equipment'!D:D,A5,'Machines &amp; Equipment'!H:H)</f>
        <v/>
      </c>
      <c r="C5" s="9">
        <f>SUMIF('Machines &amp; Equipment'!D:D,A5,'Machines &amp; Equipment'!J:J)</f>
        <v/>
      </c>
      <c r="D5" s="9">
        <f>SUMIF('Machines &amp; Equipment'!D:D,A5,'Machines &amp; Equipment'!K:K)</f>
        <v/>
      </c>
    </row>
    <row r="6">
      <c r="A6" s="5" t="inlineStr">
        <is>
          <t>Spray Equipment</t>
        </is>
      </c>
      <c r="B6" s="6">
        <f>SUMIF('Machines &amp; Equipment'!D:D,A6,'Machines &amp; Equipment'!H:H)</f>
        <v/>
      </c>
      <c r="C6" s="6">
        <f>SUMIF('Machines &amp; Equipment'!D:D,A6,'Machines &amp; Equipment'!J:J)</f>
        <v/>
      </c>
      <c r="D6" s="6">
        <f>SUMIF('Machines &amp; Equipment'!D:D,A6,'Machines &amp; Equipment'!K:K)</f>
        <v/>
      </c>
    </row>
    <row r="7">
      <c r="A7" s="3" t="inlineStr">
        <is>
          <t>Power Tools</t>
        </is>
      </c>
      <c r="B7" s="9">
        <f>SUMIF('Machines &amp; Equipment'!D:D,A7,'Machines &amp; Equipment'!H:H)</f>
        <v/>
      </c>
      <c r="C7" s="9">
        <f>SUMIF('Machines &amp; Equipment'!D:D,A7,'Machines &amp; Equipment'!J:J)</f>
        <v/>
      </c>
      <c r="D7" s="9">
        <f>SUMIF('Machines &amp; Equipment'!D:D,A7,'Machines &amp; Equipment'!K:K)</f>
        <v/>
      </c>
    </row>
    <row r="8">
      <c r="A8" s="5" t="inlineStr">
        <is>
          <t>Safety Equipment</t>
        </is>
      </c>
      <c r="B8" s="6">
        <f>SUMIF('Machines &amp; Equipment'!D:D,A8,'Machines &amp; Equipment'!H:H)</f>
        <v/>
      </c>
      <c r="C8" s="6">
        <f>SUMIF('Machines &amp; Equipment'!D:D,A8,'Machines &amp; Equipment'!J:J)</f>
        <v/>
      </c>
      <c r="D8" s="6">
        <f>SUMIF('Machines &amp; Equipment'!D:D,A8,'Machines &amp; Equipment'!K:K)</f>
        <v/>
      </c>
    </row>
    <row r="9">
      <c r="A9" s="15" t="inlineStr">
        <is>
          <t>TOTAL</t>
        </is>
      </c>
      <c r="B9" s="16">
        <f>SUM(B5:B8)</f>
        <v/>
      </c>
      <c r="C9" s="16">
        <f>SUM(C5:C8)</f>
        <v/>
      </c>
      <c r="D9" s="16">
        <f>SUM(D5:D8)</f>
        <v/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3" t="inlineStr">
        <is>
          <t>MIS DASHBOARD</t>
        </is>
      </c>
    </row>
    <row r="3">
      <c r="A3" s="13" t="inlineStr">
        <is>
          <t>KEY FINANCIAL METRICS</t>
        </is>
      </c>
    </row>
    <row r="5">
      <c r="A5" s="34" t="inlineStr">
        <is>
          <t>TOTAL REVENUE</t>
        </is>
      </c>
      <c r="C5" s="35" t="inlineStr">
        <is>
          <t>TOTAL EXPENSES</t>
        </is>
      </c>
      <c r="E5" s="36" t="inlineStr">
        <is>
          <t>NET PROFIT</t>
        </is>
      </c>
      <c r="G5" s="37" t="inlineStr">
        <is>
          <t>PROFIT MARGIN</t>
        </is>
      </c>
    </row>
    <row r="6">
      <c r="A6" s="38">
        <f>SUM('Income Tracker'!M:M)</f>
        <v/>
      </c>
      <c r="C6" s="38">
        <f>SUM('Expense Tracker'!I:I)+SUM('Employee Salaries'!N:N)+SUM('Contractor Payments'!J:J)+SUM('Stock Purchases'!N:N)+SUM('Machine Maintenance'!I:I)</f>
        <v/>
      </c>
      <c r="E6" s="39">
        <f>SUM('Income Tracker'!J:J)-SUM('Expense Tracker'!F:F)-SUM('Employee Salaries'!N:N)-SUM('Contractor Payments'!J:J)-SUM('Stock Purchases'!K:K)-SUM('Machine Maintenance'!F:F)</f>
        <v/>
      </c>
      <c r="G6" s="40">
        <f>IF(SUM('Income Tracker'!J:J)&gt;0,E6/SUM('Income Tracker'!J:J),0)</f>
        <v/>
      </c>
    </row>
    <row r="8">
      <c r="A8" s="13" t="inlineStr">
        <is>
          <t>EXPENSE BREAKDOWN</t>
        </is>
      </c>
      <c r="D8" s="13" t="inlineStr">
        <is>
          <t>TAX SUMMARY</t>
        </is>
      </c>
      <c r="G8" s="13" t="inlineStr">
        <is>
          <t>PAYROLL SUMMARY</t>
        </is>
      </c>
    </row>
    <row r="9">
      <c r="A9" s="41" t="inlineStr">
        <is>
          <t>Expense Type</t>
        </is>
      </c>
      <c r="B9" s="41" t="inlineStr">
        <is>
          <t>Amount (₹)</t>
        </is>
      </c>
      <c r="D9" s="41" t="inlineStr">
        <is>
          <t>Tax Type</t>
        </is>
      </c>
      <c r="E9" s="41" t="inlineStr">
        <is>
          <t>Amount (₹)</t>
        </is>
      </c>
      <c r="G9" s="41" t="inlineStr">
        <is>
          <t>Metric</t>
        </is>
      </c>
      <c r="H9" s="41" t="inlineStr">
        <is>
          <t>Amount (₹)</t>
        </is>
      </c>
    </row>
    <row r="10">
      <c r="A10" s="5" t="inlineStr">
        <is>
          <t>Operating Expenses</t>
        </is>
      </c>
      <c r="B10" s="6">
        <f>SUM('Expense Tracker'!I:I)</f>
        <v/>
      </c>
      <c r="D10" s="5" t="inlineStr">
        <is>
          <t>GST Collected</t>
        </is>
      </c>
      <c r="E10" s="6">
        <f>SUM('Income Tracker'!L:L)</f>
        <v/>
      </c>
      <c r="G10" s="5" t="inlineStr">
        <is>
          <t>Total Gross Salary</t>
        </is>
      </c>
      <c r="H10" s="6">
        <f>SUM('Employee Salaries'!I:I)</f>
        <v/>
      </c>
    </row>
    <row r="11">
      <c r="A11" s="3" t="inlineStr">
        <is>
          <t>Employee Salaries</t>
        </is>
      </c>
      <c r="B11" s="9">
        <f>SUM('Employee Salaries'!N:N)</f>
        <v/>
      </c>
      <c r="D11" s="3" t="inlineStr">
        <is>
          <t>GST Paid</t>
        </is>
      </c>
      <c r="E11" s="9">
        <f>SUM('Expense Tracker'!H:H)+SUM('Stock Purchases'!M:M)+SUM('Machine Maintenance'!H:H)</f>
        <v/>
      </c>
      <c r="G11" s="3" t="inlineStr">
        <is>
          <t>Total PF Deduction</t>
        </is>
      </c>
      <c r="H11" s="9">
        <f>SUM('Employee Salaries'!J:J)</f>
        <v/>
      </c>
    </row>
    <row r="12">
      <c r="A12" s="5" t="inlineStr">
        <is>
          <t>Contractor Payments</t>
        </is>
      </c>
      <c r="B12" s="6">
        <f>SUM('Contractor Payments'!J:J)</f>
        <v/>
      </c>
      <c r="D12" s="5" t="inlineStr">
        <is>
          <t>Net GST Payable</t>
        </is>
      </c>
      <c r="E12" s="6">
        <f>E10-E11</f>
        <v/>
      </c>
      <c r="G12" s="5" t="inlineStr">
        <is>
          <t>Total ESI Deduction</t>
        </is>
      </c>
      <c r="H12" s="6">
        <f>SUM('Employee Salaries'!K:K)</f>
        <v/>
      </c>
    </row>
    <row r="13">
      <c r="A13" s="3" t="inlineStr">
        <is>
          <t>Stock Purchases</t>
        </is>
      </c>
      <c r="B13" s="9">
        <f>SUM('Stock Purchases'!N:N)</f>
        <v/>
      </c>
      <c r="D13" s="3" t="inlineStr">
        <is>
          <t>TDS Deducted</t>
        </is>
      </c>
      <c r="E13" s="9">
        <f>SUM('Contractor Payments'!I:I)</f>
        <v/>
      </c>
      <c r="G13" s="3" t="inlineStr">
        <is>
          <t>Total Net Salary Paid</t>
        </is>
      </c>
      <c r="H13" s="9">
        <f>SUM('Employee Salaries'!N:N)</f>
        <v/>
      </c>
    </row>
    <row r="14">
      <c r="A14" s="5" t="inlineStr">
        <is>
          <t>Machine Maintenance</t>
        </is>
      </c>
      <c r="B14" s="6">
        <f>SUM('Machine Maintenance'!I:I)</f>
        <v/>
      </c>
      <c r="D14" s="5" t="inlineStr">
        <is>
          <t>TDS Pending Deposit</t>
        </is>
      </c>
      <c r="E14" s="6">
        <f>SUM('Contractor Payments'!I:I)-SUMIF('Contractor Payments'!N:N,"Yes",'Contractor Payments'!I:I)</f>
        <v/>
      </c>
      <c r="G14" s="5" t="inlineStr">
        <is>
          <t>Total Employees</t>
        </is>
      </c>
      <c r="H14" s="5">
        <f>COUNTA('Employee Salaries'!B:B)-1</f>
        <v/>
      </c>
    </row>
    <row r="15">
      <c r="A15" s="42" t="inlineStr">
        <is>
          <t>TOTAL</t>
        </is>
      </c>
      <c r="B15" s="43">
        <f>SUM(B10:B14)</f>
        <v/>
      </c>
    </row>
    <row r="18">
      <c r="A18" t="inlineStr">
        <is>
          <t>Service</t>
        </is>
      </c>
      <c r="B18" t="inlineStr">
        <is>
          <t>Revenue</t>
        </is>
      </c>
    </row>
    <row r="19">
      <c r="A19" t="inlineStr">
        <is>
          <t>Deep Cleaning</t>
        </is>
      </c>
      <c r="B19">
        <f>SUMIF('Income Tracker'!D:D,A19,'Income Tracker'!M:M)</f>
        <v/>
      </c>
    </row>
    <row r="20">
      <c r="A20" t="inlineStr">
        <is>
          <t>Regular Cleaning</t>
        </is>
      </c>
      <c r="B20">
        <f>SUMIF('Income Tracker'!D:D,A20,'Income Tracker'!M:M)</f>
        <v/>
      </c>
    </row>
    <row r="21">
      <c r="A21" t="inlineStr">
        <is>
          <t>Pest Control</t>
        </is>
      </c>
      <c r="B21">
        <f>SUMIF('Income Tracker'!D:D,A21,'Income Tracker'!M:M)</f>
        <v/>
      </c>
    </row>
    <row r="22">
      <c r="A22" t="inlineStr">
        <is>
          <t>Painting</t>
        </is>
      </c>
      <c r="B22">
        <f>SUMIF('Income Tracker'!D:D,A22,'Income Tracker'!M:M)</f>
        <v/>
      </c>
    </row>
    <row r="23">
      <c r="A23" t="inlineStr">
        <is>
          <t>Plumbing</t>
        </is>
      </c>
      <c r="B23">
        <f>SUMIF('Income Tracker'!D:D,A23,'Income Tracker'!M:M)</f>
        <v/>
      </c>
    </row>
    <row r="24">
      <c r="A24" t="inlineStr">
        <is>
          <t>Electrical</t>
        </is>
      </c>
      <c r="B24">
        <f>SUMIF('Income Tracker'!D:D,A24,'Income Tracker'!M:M)</f>
        <v/>
      </c>
    </row>
    <row r="25">
      <c r="A25" t="inlineStr">
        <is>
          <t>Carpentry</t>
        </is>
      </c>
      <c r="B25">
        <f>SUMIF('Income Tracker'!D:D,A25,'Income Tracker'!M:M)</f>
        <v/>
      </c>
    </row>
    <row r="26">
      <c r="A26" t="inlineStr">
        <is>
          <t>AC Service</t>
        </is>
      </c>
      <c r="B26">
        <f>SUMIF('Income Tracker'!D:D,A26,'Income Tracker'!M:M)</f>
        <v/>
      </c>
    </row>
  </sheetData>
  <mergeCells count="11">
    <mergeCell ref="A1:J1"/>
    <mergeCell ref="E6:F6"/>
    <mergeCell ref="C6:D6"/>
    <mergeCell ref="C5:D5"/>
    <mergeCell ref="A5:B5"/>
    <mergeCell ref="G5:H5"/>
    <mergeCell ref="E5:F5"/>
    <mergeCell ref="G6:H6"/>
    <mergeCell ref="A8:B8"/>
    <mergeCell ref="A6:B6"/>
    <mergeCell ref="A3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2026-01-29T15:21:56Z</dcterms:created>
  <dcterms:modified xsi:type="dcterms:W3CDTF">2026-01-29T15:21:56Z</dcterms:modified>
</cp:coreProperties>
</file>