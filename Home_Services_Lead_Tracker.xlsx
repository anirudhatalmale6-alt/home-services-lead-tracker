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Lead Tracker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Form Fields Reference" sheetId="4" state="visible" r:id="rId4"/>
  </sheets>
  <definedNames>
    <definedName name="_xlnm._FilterDatabase" localSheetId="1" hidden="1">'Lead Tracker'!$A$3:$AR$1000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 HH:MM"/>
    <numFmt numFmtId="165" formatCode="₹#,##0"/>
    <numFmt numFmtId="166" formatCode="DD-MMM-YYYY"/>
  </numFmts>
  <fonts count="3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2E5090"/>
      <sz val="12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E5090"/>
      <sz val="10"/>
    </font>
    <font>
      <name val="Calibri"/>
      <b val="1"/>
      <color rgb="001B2A4A"/>
      <sz val="10"/>
    </font>
    <font>
      <name val="Calibri"/>
      <b val="1"/>
      <color rgb="00006100"/>
      <sz val="10"/>
    </font>
    <font>
      <name val="Calibri"/>
      <b val="1"/>
      <color rgb="009C6500"/>
      <sz val="10"/>
    </font>
    <font>
      <name val="Calibri"/>
      <b val="1"/>
      <color rgb="009C0006"/>
      <sz val="10"/>
    </font>
    <font>
      <name val="Calibri"/>
      <b val="1"/>
      <color rgb="001F4E79"/>
      <sz val="10"/>
    </font>
    <font>
      <name val="Calibri"/>
      <b val="1"/>
      <color rgb="00E65100"/>
      <sz val="10"/>
    </font>
    <font>
      <name val="Calibri"/>
      <b val="1"/>
      <color rgb="001B2A4A"/>
      <sz val="22"/>
    </font>
    <font>
      <name val="Calibri"/>
      <b val="1"/>
      <color rgb="00006100"/>
      <sz val="22"/>
    </font>
    <font>
      <name val="Calibri"/>
      <b val="1"/>
      <color rgb="009C6500"/>
      <sz val="22"/>
    </font>
    <font>
      <name val="Calibri"/>
      <b val="1"/>
      <color rgb="009C0006"/>
      <sz val="22"/>
    </font>
    <font>
      <name val="Calibri"/>
      <b val="1"/>
      <color rgb="001F4E79"/>
      <sz val="22"/>
    </font>
    <font>
      <name val="Calibri"/>
      <b val="1"/>
      <color rgb="00FFFFFF"/>
      <sz val="22"/>
    </font>
    <font>
      <name val="Calibri"/>
      <b val="1"/>
      <color rgb="00E65100"/>
      <sz val="22"/>
    </font>
    <font>
      <name val="Calibri"/>
      <b val="1"/>
      <color rgb="001B2A4A"/>
      <sz val="14"/>
    </font>
    <font>
      <name val="Calibri"/>
      <b val="1"/>
      <sz val="10"/>
    </font>
    <font>
      <name val="Calibri"/>
      <b val="1"/>
      <color rgb="001B2A4A"/>
      <sz val="11"/>
    </font>
    <font>
      <name val="Calibri"/>
      <b val="1"/>
      <color rgb="001B2A4A"/>
      <sz val="12"/>
    </font>
    <font>
      <name val="Calibri"/>
      <i val="1"/>
      <color rgb="002E5090"/>
      <sz val="10"/>
    </font>
    <font>
      <name val="Calibri"/>
      <b val="1"/>
      <color rgb="001B2A4A"/>
      <sz val="16"/>
    </font>
    <font>
      <name val="Calibri"/>
      <b val="1"/>
      <color rgb="00006100"/>
      <sz val="16"/>
    </font>
    <font>
      <name val="Calibri"/>
      <b val="1"/>
      <color rgb="009C6500"/>
      <sz val="16"/>
    </font>
    <font>
      <name val="Calibri"/>
      <b val="1"/>
      <color rgb="009C0006"/>
      <sz val="16"/>
    </font>
    <font>
      <name val="Calibri"/>
      <color rgb="00333333"/>
      <sz val="10"/>
    </font>
  </fonts>
  <fills count="13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E5090"/>
        <bgColor rgb="002E509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4C6E7"/>
        <bgColor rgb="00B4C6E7"/>
      </patternFill>
    </fill>
    <fill>
      <patternFill patternType="solid">
        <fgColor rgb="00548235"/>
        <bgColor rgb="00548235"/>
      </patternFill>
    </fill>
    <fill>
      <patternFill patternType="solid">
        <fgColor rgb="00FFE0B2"/>
        <bgColor rgb="00FFE0B2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2E5090"/>
      </left>
      <right style="medium">
        <color rgb="002E5090"/>
      </right>
      <top style="medium">
        <color rgb="002E5090"/>
      </top>
      <bottom style="medium">
        <color rgb="002E509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165" fontId="22" fillId="10" borderId="1" applyAlignment="1" pivotButton="0" quotePrefix="0" xfId="0">
      <alignment horizontal="center" vertical="center" wrapText="1"/>
    </xf>
    <xf numFmtId="1" fontId="22" fillId="10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left" vertical="center" wrapText="1"/>
    </xf>
    <xf numFmtId="1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166" fontId="25" fillId="5" borderId="2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10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center" vertical="center" wrapText="1"/>
    </xf>
    <xf numFmtId="165" fontId="27" fillId="10" borderId="1" applyAlignment="1" pivotButton="0" quotePrefix="0" xfId="0">
      <alignment horizontal="center" vertical="center" wrapText="1"/>
    </xf>
    <xf numFmtId="165" fontId="30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23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1F4E79"/>
      </font>
      <fill>
        <patternFill patternType="solid">
          <fgColor rgb="00B4C6E7"/>
          <bgColor rgb="00B4C6E7"/>
        </patternFill>
      </fill>
    </dxf>
    <dxf>
      <font>
        <b val="1"/>
        <color rgb="00FFFFFF"/>
      </font>
      <fill>
        <patternFill patternType="solid">
          <fgColor rgb="00548235"/>
          <bgColor rgb="00548235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375623"/>
      </font>
      <fill>
        <patternFill patternType="solid">
          <fgColor rgb="00A9D18E"/>
          <bgColor rgb="00A9D18E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E8D5F5"/>
          <bgColor rgb="00E8D5F5"/>
        </patternFill>
      </fill>
    </dxf>
    <dxf>
      <fill>
        <patternFill patternType="solid">
          <fgColor rgb="00FFF3E0"/>
          <b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Service-Wise Orders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'Dashboard'!$A$32:$A$41</f>
            </numRef>
          </cat>
          <val>
            <numRef>
              <f>'Dashboard'!$B$32:$B$41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Service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Area-Wise Order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'Dashboard'!$A$46:$A$56</f>
            </numRef>
          </cat>
          <val>
            <numRef>
              <f>'Dashboard'!$B$46:$B$56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Source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'Dashboard'!$A$20:$A$27</f>
            </numRef>
          </cat>
          <val>
            <numRef>
              <f>'Dashboard'!$B$20:$B$27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29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43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17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5" customHeight="1">
      <c r="A1" s="1" t="inlineStr">
        <is>
          <t>HOME SERVICES LEAD TRACKER — QUICK START GUIDE</t>
        </is>
      </c>
    </row>
    <row r="2" ht="30" customHeight="1">
      <c r="A2" s="2" t="inlineStr">
        <is>
          <t>Follow these steps to get started with your tracker</t>
        </is>
      </c>
    </row>
    <row r="4" ht="25" customHeight="1">
      <c r="A4" s="3" t="inlineStr">
        <is>
          <t>1. OPENING IN GOOGLE SHEETS</t>
        </is>
      </c>
    </row>
    <row r="5" ht="55" customHeight="1">
      <c r="A5" s="4" t="inlineStr">
        <is>
          <t>Upload this file to Google Drive (drive.google.com). Right-click the file &gt; Open with &gt; Google Sheets. All formulas, dropdowns, and conditional formatting will work automatically.</t>
        </is>
      </c>
    </row>
    <row r="7" ht="25" customHeight="1">
      <c r="A7" s="3" t="inlineStr">
        <is>
          <t>2. ENABLE FILTERS</t>
        </is>
      </c>
    </row>
    <row r="8" ht="55" customHeight="1">
      <c r="A8" s="4" t="inlineStr">
        <is>
          <t>Go to Data &gt; Create a filter. This adds filter arrows to every column header so you can sort and filter by status, service, area, date, etc.</t>
        </is>
      </c>
    </row>
    <row r="10" ht="25" customHeight="1">
      <c r="A10" s="3" t="inlineStr">
        <is>
          <t>3. COLOR CODES EXPLAINED</t>
        </is>
      </c>
    </row>
    <row r="11" ht="55" customHeight="1">
      <c r="A11" s="4" t="inlineStr">
        <is>
          <t>GREEN = Confirmed / Payment Received  |  YELLOW = Pending / Advance NIL  |  RED = Cancelled / Payment Pending  |  BLUE = Scheduled  |  PURPLE tint = Completed  |  ORANGE = Refunded</t>
        </is>
      </c>
    </row>
    <row r="13" ht="25" customHeight="1">
      <c r="A13" s="3" t="inlineStr">
        <is>
          <t>4. USING THE LEAD TRACKER</t>
        </is>
      </c>
    </row>
    <row r="14" ht="55" customHeight="1">
      <c r="A14" s="4" t="inlineStr">
        <is>
          <t>Start entering data from Row 4. The S.No, Order ID, Total Value, Discounted Total, Pending Balance, and Invoice Number columns auto-calculate via formulas. Use dropdowns for City, BHK, Services, Status, Payment, and Source fields.</t>
        </is>
      </c>
    </row>
    <row r="16" ht="25" customHeight="1">
      <c r="A16" s="3" t="inlineStr">
        <is>
          <t>5. CALENDAR / DATE PICKERS</t>
        </is>
      </c>
    </row>
    <row r="17" ht="55" customHeight="1">
      <c r="A17" s="4" t="inlineStr">
        <is>
          <t>In Google Sheets, click any date cell (Preferred Date, Scheduled Date, Completed Date) and a calendar picker appears automatically. Dates are formatted DD-MMM-YYYY.</t>
        </is>
      </c>
    </row>
    <row r="19" ht="25" customHeight="1">
      <c r="A19" s="3" t="inlineStr">
        <is>
          <t>6. DASHBOARD TAB</t>
        </is>
      </c>
    </row>
    <row r="20" ht="55" customHeight="1">
      <c r="A20" s="4" t="inlineStr">
        <is>
          <t>The Dashboard sheet auto-updates with order statistics, payment summary, service-wise breakdown, area-wise distribution, order source tracking, and a date-wise report with calendar inputs. Charts visualise the data.</t>
        </is>
      </c>
    </row>
    <row r="22" ht="25" customHeight="1">
      <c r="A22" s="3" t="inlineStr">
        <is>
          <t>7. LINKING A GOOGLE FORM</t>
        </is>
      </c>
    </row>
    <row r="23" ht="55" customHeight="1">
      <c r="A23" s="4" t="inlineStr">
        <is>
          <t>Create a Google Form with fields listed in the 'Form Fields Reference' tab. Link the form response sheet, then copy-paste or IMPORTRANGE the data into the Lead Tracker. The Order ID and Invoice formulas populate automatically.</t>
        </is>
      </c>
    </row>
    <row r="25" ht="25" customHeight="1">
      <c r="A25" s="3" t="inlineStr">
        <is>
          <t>8. TIPS</t>
        </is>
      </c>
    </row>
    <row r="26" ht="55" customHeight="1">
      <c r="A26" s="4" t="inlineStr">
        <is>
          <t>Keep the first 4 columns (A-D) visible — they are frozen. Use Order Source to track your best marketing channels. Regularly review the Dashboard for business insights. Back up your sheet weekly.</t>
        </is>
      </c>
    </row>
  </sheetData>
  <mergeCells count="18">
    <mergeCell ref="A1:H1"/>
    <mergeCell ref="A4:H4"/>
    <mergeCell ref="A26:H26"/>
    <mergeCell ref="A7:H7"/>
    <mergeCell ref="A25:H25"/>
    <mergeCell ref="A20:H20"/>
    <mergeCell ref="A2:H2"/>
    <mergeCell ref="A16:H16"/>
    <mergeCell ref="A10:H10"/>
    <mergeCell ref="A13:H13"/>
    <mergeCell ref="A11:H11"/>
    <mergeCell ref="A14:H14"/>
    <mergeCell ref="A19:H19"/>
    <mergeCell ref="A5:H5"/>
    <mergeCell ref="A23:H23"/>
    <mergeCell ref="A8:H8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AR10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22" customWidth="1" min="8" max="8"/>
    <col width="14" customWidth="1" min="9" max="9"/>
    <col width="18" customWidth="1" min="10" max="10"/>
    <col width="30" customWidth="1" min="11" max="11"/>
    <col width="10" customWidth="1" min="12" max="12"/>
    <col width="10" customWidth="1" min="13" max="13"/>
    <col width="20" customWidth="1" min="14" max="14"/>
    <col width="12" customWidth="1" min="15" max="15"/>
    <col width="20" customWidth="1" min="16" max="16"/>
    <col width="12" customWidth="1" min="17" max="17"/>
    <col width="20" customWidth="1" min="18" max="18"/>
    <col width="12" customWidth="1" min="19" max="19"/>
    <col width="20" customWidth="1" min="20" max="20"/>
    <col width="12" customWidth="1" min="21" max="21"/>
    <col width="14" customWidth="1" min="22" max="22"/>
    <col width="14" customWidth="1" min="23" max="23"/>
    <col width="14" customWidth="1" min="24" max="24"/>
    <col width="16" customWidth="1" min="25" max="25"/>
    <col width="22" customWidth="1" min="26" max="26"/>
    <col width="16" customWidth="1" min="27" max="27"/>
    <col width="16" customWidth="1" min="28" max="28"/>
    <col width="25" customWidth="1" min="29" max="29"/>
    <col width="18" customWidth="1" min="30" max="30"/>
    <col width="16" customWidth="1" min="31" max="31"/>
    <col width="18" customWidth="1" min="32" max="32"/>
    <col width="16" customWidth="1" min="33" max="33"/>
    <col width="22" customWidth="1" min="34" max="34"/>
    <col width="16" customWidth="1" min="35" max="35"/>
    <col width="14" customWidth="1" min="36" max="36"/>
    <col width="14" customWidth="1" min="37" max="37"/>
    <col width="14" customWidth="1" min="38" max="38"/>
    <col width="16" customWidth="1" min="39" max="39"/>
    <col width="14" customWidth="1" min="40" max="40"/>
    <col width="16" customWidth="1" min="41" max="41"/>
    <col width="14" customWidth="1" min="42" max="42"/>
    <col width="14" customWidth="1" min="43" max="43"/>
    <col width="18" customWidth="1" min="44" max="44"/>
  </cols>
  <sheetData>
    <row r="1" ht="45" customHeight="1">
      <c r="A1" s="1" t="inlineStr">
        <is>
          <t>HOME SERVICES — LEAD TRACKER &amp; ORDER MANAGEMENT</t>
        </is>
      </c>
    </row>
    <row r="2" ht="28" customHeight="1">
      <c r="A2" s="5" t="inlineStr">
        <is>
          <t>Comprehensive Lead Management for Home Services Business — Bangalore &amp; Pan-India</t>
        </is>
      </c>
    </row>
    <row r="3" ht="40" customHeight="1">
      <c r="A3" s="6" t="inlineStr">
        <is>
          <t>S.No</t>
        </is>
      </c>
      <c r="B3" s="6" t="inlineStr">
        <is>
          <t>Timestamp</t>
        </is>
      </c>
      <c r="C3" s="6" t="inlineStr">
        <is>
          <t>Order ID</t>
        </is>
      </c>
      <c r="D3" s="6" t="inlineStr">
        <is>
          <t>Customer Name</t>
        </is>
      </c>
      <c r="E3" s="6" t="inlineStr">
        <is>
          <t>Phone Number</t>
        </is>
      </c>
      <c r="F3" s="6" t="inlineStr">
        <is>
          <t>WhatsApp Number</t>
        </is>
      </c>
      <c r="G3" s="6" t="inlineStr">
        <is>
          <t>Alternate Phone</t>
        </is>
      </c>
      <c r="H3" s="6" t="inlineStr">
        <is>
          <t>Email</t>
        </is>
      </c>
      <c r="I3" s="6" t="inlineStr">
        <is>
          <t>City</t>
        </is>
      </c>
      <c r="J3" s="6" t="inlineStr">
        <is>
          <t>Area / Locality</t>
        </is>
      </c>
      <c r="K3" s="6" t="inlineStr">
        <is>
          <t>Full Address</t>
        </is>
      </c>
      <c r="L3" s="6" t="inlineStr">
        <is>
          <t>BHK</t>
        </is>
      </c>
      <c r="M3" s="6" t="inlineStr">
        <is>
          <t>SQFT</t>
        </is>
      </c>
      <c r="N3" s="6" t="inlineStr">
        <is>
          <t>Service 1</t>
        </is>
      </c>
      <c r="O3" s="6" t="inlineStr">
        <is>
          <t>Price 1</t>
        </is>
      </c>
      <c r="P3" s="6" t="inlineStr">
        <is>
          <t>Service 2</t>
        </is>
      </c>
      <c r="Q3" s="6" t="inlineStr">
        <is>
          <t>Price 2</t>
        </is>
      </c>
      <c r="R3" s="6" t="inlineStr">
        <is>
          <t>Service 3</t>
        </is>
      </c>
      <c r="S3" s="6" t="inlineStr">
        <is>
          <t>Price 3</t>
        </is>
      </c>
      <c r="T3" s="6" t="inlineStr">
        <is>
          <t>Service 4</t>
        </is>
      </c>
      <c r="U3" s="6" t="inlineStr">
        <is>
          <t>Price 4</t>
        </is>
      </c>
      <c r="V3" s="6" t="inlineStr">
        <is>
          <t>Total Value</t>
        </is>
      </c>
      <c r="W3" s="6" t="inlineStr">
        <is>
          <t>Discount Amount</t>
        </is>
      </c>
      <c r="X3" s="6" t="inlineStr">
        <is>
          <t>Discounted Total</t>
        </is>
      </c>
      <c r="Y3" s="6" t="inlineStr">
        <is>
          <t>Preferred Date</t>
        </is>
      </c>
      <c r="Z3" s="6" t="inlineStr">
        <is>
          <t>Slot Time</t>
        </is>
      </c>
      <c r="AA3" s="6" t="inlineStr">
        <is>
          <t>Order Source</t>
        </is>
      </c>
      <c r="AB3" s="6" t="inlineStr">
        <is>
          <t>Order Status</t>
        </is>
      </c>
      <c r="AC3" s="6" t="inlineStr">
        <is>
          <t>Reason / Notes</t>
        </is>
      </c>
      <c r="AD3" s="6" t="inlineStr">
        <is>
          <t>Vendor Name</t>
        </is>
      </c>
      <c r="AE3" s="6" t="inlineStr">
        <is>
          <t>Vendor Contact</t>
        </is>
      </c>
      <c r="AF3" s="6" t="inlineStr">
        <is>
          <t>Vendor Alternate No.</t>
        </is>
      </c>
      <c r="AG3" s="6" t="inlineStr">
        <is>
          <t>Order Scheduled Date</t>
        </is>
      </c>
      <c r="AH3" s="6" t="inlineStr">
        <is>
          <t>Scheduled Time</t>
        </is>
      </c>
      <c r="AI3" s="6" t="inlineStr">
        <is>
          <t>Order Completed Date</t>
        </is>
      </c>
      <c r="AJ3" s="6" t="inlineStr">
        <is>
          <t>Advance Amount</t>
        </is>
      </c>
      <c r="AK3" s="6" t="inlineStr">
        <is>
          <t>Advance Status</t>
        </is>
      </c>
      <c r="AL3" s="6" t="inlineStr">
        <is>
          <t>Pending Balance</t>
        </is>
      </c>
      <c r="AM3" s="6" t="inlineStr">
        <is>
          <t>Payment Value</t>
        </is>
      </c>
      <c r="AN3" s="6" t="inlineStr">
        <is>
          <t>Payment Status</t>
        </is>
      </c>
      <c r="AO3" s="6" t="inlineStr">
        <is>
          <t>Payment Mode</t>
        </is>
      </c>
      <c r="AP3" s="6" t="inlineStr">
        <is>
          <t>Refund Amount</t>
        </is>
      </c>
      <c r="AQ3" s="6" t="inlineStr">
        <is>
          <t>Invoice Number</t>
        </is>
      </c>
      <c r="AR3" s="6" t="inlineStr">
        <is>
          <t>Transaction Ref. No.</t>
        </is>
      </c>
    </row>
    <row r="4">
      <c r="A4" s="7">
        <f>IF(B4&lt;&gt;"",ROW()-3,"")</f>
        <v/>
      </c>
      <c r="B4" s="8" t="n">
        <v>46044.76461506095</v>
      </c>
      <c r="C4" s="9">
        <f>IF(B4&lt;&gt;"","ST-"&amp;TEXT(ROW()-3,"0000"),"")</f>
        <v/>
      </c>
      <c r="D4" s="10" t="inlineStr">
        <is>
          <t>Rajesh Kumar</t>
        </is>
      </c>
      <c r="E4" s="11" t="inlineStr">
        <is>
          <t>9876543210</t>
        </is>
      </c>
      <c r="F4" s="11" t="inlineStr">
        <is>
          <t>9876543210</t>
        </is>
      </c>
      <c r="G4" s="11" t="inlineStr"/>
      <c r="H4" s="10" t="inlineStr">
        <is>
          <t>rajesh.k@email.com</t>
        </is>
      </c>
      <c r="I4" s="11" t="inlineStr">
        <is>
          <t>Bangalore</t>
        </is>
      </c>
      <c r="J4" s="10" t="inlineStr">
        <is>
          <t>Indiranagar</t>
        </is>
      </c>
      <c r="K4" s="10" t="inlineStr">
        <is>
          <t>123, 12th Main, Indiranagar, Bangalore - 560038</t>
        </is>
      </c>
      <c r="L4" s="11" t="inlineStr">
        <is>
          <t>2BHK</t>
        </is>
      </c>
      <c r="M4" s="12" t="n">
        <v>1200</v>
      </c>
      <c r="N4" s="11" t="inlineStr">
        <is>
          <t>Bathroom Cleaning</t>
        </is>
      </c>
      <c r="O4" s="13" t="n">
        <v>2000</v>
      </c>
      <c r="P4" s="11" t="inlineStr">
        <is>
          <t>Pest Control</t>
        </is>
      </c>
      <c r="Q4" s="13" t="n">
        <v>3500</v>
      </c>
      <c r="R4" s="11" t="n"/>
      <c r="S4" s="13" t="n"/>
      <c r="T4" s="11" t="n"/>
      <c r="U4" s="13" t="n"/>
      <c r="V4" s="13">
        <f>IF(COUNTA(N4)&gt;0,SUM(O4,Q4,S4,U4),"")</f>
        <v/>
      </c>
      <c r="W4" s="13" t="n">
        <v>500</v>
      </c>
      <c r="X4" s="13">
        <f>IF(V4&lt;&gt;"",V4-IF(W4&lt;&gt;"",W4,0),"")</f>
        <v/>
      </c>
      <c r="Y4" s="14" t="n">
        <v>46051.76461506095</v>
      </c>
      <c r="Z4" s="11" t="inlineStr">
        <is>
          <t>Morning 10-12</t>
        </is>
      </c>
      <c r="AA4" s="11" t="inlineStr">
        <is>
          <t>Website</t>
        </is>
      </c>
      <c r="AB4" s="11" t="inlineStr">
        <is>
          <t>Confirmed</t>
        </is>
      </c>
      <c r="AC4" s="10" t="inlineStr"/>
      <c r="AD4" s="11" t="inlineStr">
        <is>
          <t>Suresh</t>
        </is>
      </c>
      <c r="AE4" s="11" t="inlineStr">
        <is>
          <t>9988776655</t>
        </is>
      </c>
      <c r="AF4" s="11" t="n"/>
      <c r="AG4" s="14" t="n">
        <v>46051.76461506095</v>
      </c>
      <c r="AH4" s="11" t="inlineStr">
        <is>
          <t>Morning 10-12</t>
        </is>
      </c>
      <c r="AI4" s="14" t="n"/>
      <c r="AJ4" s="13" t="n">
        <v>500</v>
      </c>
      <c r="AK4" s="11" t="inlineStr">
        <is>
          <t>Received</t>
        </is>
      </c>
      <c r="AL4" s="13">
        <f>IF(X4="","",IF(AN4="Received",0,X4-IF(AJ4&lt;&gt;"",AJ4,0)))</f>
        <v/>
      </c>
      <c r="AM4" s="13" t="n"/>
      <c r="AN4" s="11" t="n"/>
      <c r="AO4" s="11" t="n"/>
      <c r="AP4" s="13" t="n"/>
      <c r="AQ4" s="11">
        <f>IF(B4&lt;&gt;"","INV-"&amp;TEXT(ROW()-3,"0000"),"")</f>
        <v/>
      </c>
      <c r="AR4" s="11" t="n"/>
    </row>
    <row r="5">
      <c r="A5" s="7">
        <f>IF(B5&lt;&gt;"",ROW()-3,"")</f>
        <v/>
      </c>
      <c r="B5" s="8" t="n">
        <v>46046.76461506095</v>
      </c>
      <c r="C5" s="9">
        <f>IF(B5&lt;&gt;"","ST-"&amp;TEXT(ROW()-3,"0000"),"")</f>
        <v/>
      </c>
      <c r="D5" s="10" t="inlineStr">
        <is>
          <t>Priya Sharma</t>
        </is>
      </c>
      <c r="E5" s="11" t="inlineStr">
        <is>
          <t>8765432109</t>
        </is>
      </c>
      <c r="F5" s="11" t="inlineStr"/>
      <c r="G5" s="11" t="inlineStr"/>
      <c r="H5" s="10" t="inlineStr">
        <is>
          <t>priya.s@email.com</t>
        </is>
      </c>
      <c r="I5" s="11" t="inlineStr">
        <is>
          <t>Bangalore</t>
        </is>
      </c>
      <c r="J5" s="10" t="inlineStr">
        <is>
          <t>HSR Layout</t>
        </is>
      </c>
      <c r="K5" s="10" t="inlineStr">
        <is>
          <t>45, Sector 2, HSR Layout, Bangalore - 560102</t>
        </is>
      </c>
      <c r="L5" s="11" t="inlineStr">
        <is>
          <t>3BHK</t>
        </is>
      </c>
      <c r="M5" s="12" t="n">
        <v>1800</v>
      </c>
      <c r="N5" s="11" t="inlineStr">
        <is>
          <t>Full Home Cleaning</t>
        </is>
      </c>
      <c r="O5" s="13" t="n">
        <v>4500</v>
      </c>
      <c r="P5" s="11" t="n"/>
      <c r="Q5" s="13" t="n"/>
      <c r="R5" s="11" t="n"/>
      <c r="S5" s="13" t="n"/>
      <c r="T5" s="11" t="n"/>
      <c r="U5" s="13" t="n"/>
      <c r="V5" s="13">
        <f>IF(COUNTA(N5)&gt;0,SUM(O5,Q5,S5,U5),"")</f>
        <v/>
      </c>
      <c r="W5" s="13" t="n"/>
      <c r="X5" s="13">
        <f>IF(V5&lt;&gt;"",V5-IF(W5&lt;&gt;"",W5,0),"")</f>
        <v/>
      </c>
      <c r="Y5" s="14" t="n">
        <v>46054.76461506095</v>
      </c>
      <c r="Z5" s="11" t="inlineStr">
        <is>
          <t>Afternoon 2-4</t>
        </is>
      </c>
      <c r="AA5" s="11" t="inlineStr">
        <is>
          <t>Instagram</t>
        </is>
      </c>
      <c r="AB5" s="11" t="inlineStr">
        <is>
          <t>Pending</t>
        </is>
      </c>
      <c r="AC5" s="10" t="n"/>
      <c r="AD5" s="11" t="n"/>
      <c r="AE5" s="11" t="n"/>
      <c r="AF5" s="11" t="n"/>
      <c r="AG5" s="14" t="n"/>
      <c r="AH5" s="11" t="n"/>
      <c r="AI5" s="14" t="n"/>
      <c r="AJ5" s="13" t="n"/>
      <c r="AK5" s="11" t="n"/>
      <c r="AL5" s="13">
        <f>IF(X5="","",IF(AN5="Received",0,X5-IF(AJ5&lt;&gt;"",AJ5,0)))</f>
        <v/>
      </c>
      <c r="AM5" s="13" t="n"/>
      <c r="AN5" s="11" t="n"/>
      <c r="AO5" s="11" t="n"/>
      <c r="AP5" s="13" t="n"/>
      <c r="AQ5" s="11">
        <f>IF(B5&lt;&gt;"","INV-"&amp;TEXT(ROW()-3,"0000"),"")</f>
        <v/>
      </c>
      <c r="AR5" s="11" t="n"/>
    </row>
    <row r="6">
      <c r="A6" s="7">
        <f>IF(B6&lt;&gt;"",ROW()-3,"")</f>
        <v/>
      </c>
      <c r="B6" s="8" t="n">
        <v>46042.76461506095</v>
      </c>
      <c r="C6" s="9">
        <f>IF(B6&lt;&gt;"","ST-"&amp;TEXT(ROW()-3,"0000"),"")</f>
        <v/>
      </c>
      <c r="D6" s="10" t="inlineStr">
        <is>
          <t>Amit Patel</t>
        </is>
      </c>
      <c r="E6" s="11" t="inlineStr">
        <is>
          <t>7654321098</t>
        </is>
      </c>
      <c r="F6" s="11" t="inlineStr"/>
      <c r="G6" s="11" t="inlineStr"/>
      <c r="H6" s="10" t="inlineStr">
        <is>
          <t>amit.p@email.com</t>
        </is>
      </c>
      <c r="I6" s="11" t="inlineStr">
        <is>
          <t>Bangalore</t>
        </is>
      </c>
      <c r="J6" s="10" t="inlineStr">
        <is>
          <t>Whitefield</t>
        </is>
      </c>
      <c r="K6" s="10" t="inlineStr">
        <is>
          <t>78, ITPL Road, Whitefield, Bangalore - 560066</t>
        </is>
      </c>
      <c r="L6" s="11" t="inlineStr">
        <is>
          <t>2BHK</t>
        </is>
      </c>
      <c r="M6" s="12" t="n">
        <v>1100</v>
      </c>
      <c r="N6" s="11" t="inlineStr">
        <is>
          <t>Painting</t>
        </is>
      </c>
      <c r="O6" s="13" t="n">
        <v>15000</v>
      </c>
      <c r="P6" s="11" t="inlineStr">
        <is>
          <t>Plumbing</t>
        </is>
      </c>
      <c r="Q6" s="13" t="n">
        <v>2000</v>
      </c>
      <c r="R6" s="11" t="n"/>
      <c r="S6" s="13" t="n"/>
      <c r="T6" s="11" t="n"/>
      <c r="U6" s="13" t="n"/>
      <c r="V6" s="13">
        <f>IF(COUNTA(N6)&gt;0,SUM(O6,Q6,S6,U6),"")</f>
        <v/>
      </c>
      <c r="W6" s="13" t="n">
        <v>2000</v>
      </c>
      <c r="X6" s="13">
        <f>IF(V6&lt;&gt;"",V6-IF(W6&lt;&gt;"",W6,0),"")</f>
        <v/>
      </c>
      <c r="Y6" s="14" t="n"/>
      <c r="Z6" s="11" t="n"/>
      <c r="AA6" s="11" t="inlineStr">
        <is>
          <t>Google</t>
        </is>
      </c>
      <c r="AB6" s="11" t="inlineStr">
        <is>
          <t>Cancelled</t>
        </is>
      </c>
      <c r="AC6" s="10" t="inlineStr">
        <is>
          <t>Price too high</t>
        </is>
      </c>
      <c r="AD6" s="11" t="n"/>
      <c r="AE6" s="11" t="n"/>
      <c r="AF6" s="11" t="n"/>
      <c r="AG6" s="14" t="n"/>
      <c r="AH6" s="11" t="n"/>
      <c r="AI6" s="14" t="n"/>
      <c r="AJ6" s="13" t="n"/>
      <c r="AK6" s="11" t="n"/>
      <c r="AL6" s="13">
        <f>IF(X6="","",IF(AN6="Received",0,X6-IF(AJ6&lt;&gt;"",AJ6,0)))</f>
        <v/>
      </c>
      <c r="AM6" s="13" t="n"/>
      <c r="AN6" s="11" t="n"/>
      <c r="AO6" s="11" t="n"/>
      <c r="AP6" s="13" t="n"/>
      <c r="AQ6" s="11">
        <f>IF(B6&lt;&gt;"","INV-"&amp;TEXT(ROW()-3,"0000"),"")</f>
        <v/>
      </c>
      <c r="AR6" s="11" t="n"/>
    </row>
    <row r="7">
      <c r="A7" s="7">
        <f>IF(B7&lt;&gt;"",ROW()-3,"")</f>
        <v/>
      </c>
      <c r="B7" s="8" t="n">
        <v>46047.76461506095</v>
      </c>
      <c r="C7" s="9">
        <f>IF(B7&lt;&gt;"","ST-"&amp;TEXT(ROW()-3,"0000"),"")</f>
        <v/>
      </c>
      <c r="D7" s="10" t="inlineStr">
        <is>
          <t>Meera Reddy</t>
        </is>
      </c>
      <c r="E7" s="11" t="inlineStr">
        <is>
          <t>6543210987</t>
        </is>
      </c>
      <c r="F7" s="11" t="inlineStr">
        <is>
          <t>6543210987</t>
        </is>
      </c>
      <c r="G7" s="11" t="inlineStr"/>
      <c r="H7" s="10" t="inlineStr">
        <is>
          <t>meera.r@email.com</t>
        </is>
      </c>
      <c r="I7" s="11" t="inlineStr">
        <is>
          <t>Bangalore</t>
        </is>
      </c>
      <c r="J7" s="10" t="inlineStr">
        <is>
          <t>Koramangala</t>
        </is>
      </c>
      <c r="K7" s="10" t="inlineStr">
        <is>
          <t>22, 5th Block, Koramangala, Bangalore - 560095</t>
        </is>
      </c>
      <c r="L7" s="11" t="inlineStr">
        <is>
          <t>3BHK</t>
        </is>
      </c>
      <c r="M7" s="12" t="n">
        <v>1600</v>
      </c>
      <c r="N7" s="11" t="inlineStr">
        <is>
          <t>Full Home Cleaning</t>
        </is>
      </c>
      <c r="O7" s="13" t="n">
        <v>4500</v>
      </c>
      <c r="P7" s="11" t="n"/>
      <c r="Q7" s="13" t="n"/>
      <c r="R7" s="11" t="n"/>
      <c r="S7" s="13" t="n"/>
      <c r="T7" s="11" t="n"/>
      <c r="U7" s="13" t="n"/>
      <c r="V7" s="13">
        <f>IF(COUNTA(N7)&gt;0,SUM(O7,Q7,S7,U7),"")</f>
        <v/>
      </c>
      <c r="W7" s="13" t="n"/>
      <c r="X7" s="13">
        <f>IF(V7&lt;&gt;"",V7-IF(W7&lt;&gt;"",W7,0),"")</f>
        <v/>
      </c>
      <c r="Y7" s="14" t="n">
        <v>46052.76461506095</v>
      </c>
      <c r="Z7" s="11" t="inlineStr">
        <is>
          <t>Morning 8-10</t>
        </is>
      </c>
      <c r="AA7" s="11" t="inlineStr">
        <is>
          <t>JustDial</t>
        </is>
      </c>
      <c r="AB7" s="11" t="inlineStr">
        <is>
          <t>Scheduled</t>
        </is>
      </c>
      <c r="AC7" s="10" t="n"/>
      <c r="AD7" s="11" t="inlineStr">
        <is>
          <t>Ramesh</t>
        </is>
      </c>
      <c r="AE7" s="11" t="inlineStr">
        <is>
          <t>9876501234</t>
        </is>
      </c>
      <c r="AF7" s="11" t="n"/>
      <c r="AG7" s="14" t="n">
        <v>46052.76461506095</v>
      </c>
      <c r="AH7" s="11" t="inlineStr">
        <is>
          <t>Morning 8-10</t>
        </is>
      </c>
      <c r="AI7" s="14" t="n"/>
      <c r="AJ7" s="13" t="n">
        <v>1000</v>
      </c>
      <c r="AK7" s="11" t="inlineStr">
        <is>
          <t>Received</t>
        </is>
      </c>
      <c r="AL7" s="13">
        <f>IF(X7="","",IF(AN7="Received",0,X7-IF(AJ7&lt;&gt;"",AJ7,0)))</f>
        <v/>
      </c>
      <c r="AM7" s="13" t="n"/>
      <c r="AN7" s="11" t="n"/>
      <c r="AO7" s="11" t="n"/>
      <c r="AP7" s="13" t="n"/>
      <c r="AQ7" s="11">
        <f>IF(B7&lt;&gt;"","INV-"&amp;TEXT(ROW()-3,"0000"),"")</f>
        <v/>
      </c>
      <c r="AR7" s="11" t="n"/>
    </row>
    <row r="8">
      <c r="A8" s="7">
        <f>IF(B8&lt;&gt;"",ROW()-3,"")</f>
        <v/>
      </c>
      <c r="B8" s="8" t="n">
        <v>46039.76461506095</v>
      </c>
      <c r="C8" s="9">
        <f>IF(B8&lt;&gt;"","ST-"&amp;TEXT(ROW()-3,"0000"),"")</f>
        <v/>
      </c>
      <c r="D8" s="10" t="inlineStr">
        <is>
          <t>Karthik Nair</t>
        </is>
      </c>
      <c r="E8" s="11" t="inlineStr">
        <is>
          <t>5432109876</t>
        </is>
      </c>
      <c r="F8" s="11" t="inlineStr"/>
      <c r="G8" s="11" t="inlineStr"/>
      <c r="H8" s="10" t="inlineStr">
        <is>
          <t>karthik.n@email.com</t>
        </is>
      </c>
      <c r="I8" s="11" t="inlineStr">
        <is>
          <t>Bangalore</t>
        </is>
      </c>
      <c r="J8" s="10" t="inlineStr">
        <is>
          <t>JP Nagar</t>
        </is>
      </c>
      <c r="K8" s="10" t="inlineStr">
        <is>
          <t>56, 6th Phase, JP Nagar, Bangalore - 560078</t>
        </is>
      </c>
      <c r="L8" s="11" t="inlineStr">
        <is>
          <t>1BHK</t>
        </is>
      </c>
      <c r="M8" s="12" t="n">
        <v>650</v>
      </c>
      <c r="N8" s="11" t="inlineStr">
        <is>
          <t>Plumbing</t>
        </is>
      </c>
      <c r="O8" s="13" t="n">
        <v>1500</v>
      </c>
      <c r="P8" s="11" t="n"/>
      <c r="Q8" s="13" t="n"/>
      <c r="R8" s="11" t="n"/>
      <c r="S8" s="13" t="n"/>
      <c r="T8" s="11" t="n"/>
      <c r="U8" s="13" t="n"/>
      <c r="V8" s="13">
        <f>IF(COUNTA(N8)&gt;0,SUM(O8,Q8,S8,U8),"")</f>
        <v/>
      </c>
      <c r="W8" s="13" t="n"/>
      <c r="X8" s="13">
        <f>IF(V8&lt;&gt;"",V8-IF(W8&lt;&gt;"",W8,0),"")</f>
        <v/>
      </c>
      <c r="Y8" s="14" t="n">
        <v>46041.76461506095</v>
      </c>
      <c r="Z8" s="11" t="inlineStr">
        <is>
          <t>Evening 4-6</t>
        </is>
      </c>
      <c r="AA8" s="11" t="inlineStr">
        <is>
          <t>Website</t>
        </is>
      </c>
      <c r="AB8" s="11" t="inlineStr">
        <is>
          <t>Completed</t>
        </is>
      </c>
      <c r="AC8" s="10" t="n"/>
      <c r="AD8" s="11" t="inlineStr">
        <is>
          <t>Vijay</t>
        </is>
      </c>
      <c r="AE8" s="11" t="inlineStr">
        <is>
          <t>9123456780</t>
        </is>
      </c>
      <c r="AF8" s="11" t="n"/>
      <c r="AG8" s="14" t="n">
        <v>46041.76461506095</v>
      </c>
      <c r="AH8" s="11" t="inlineStr">
        <is>
          <t>Evening 4-6</t>
        </is>
      </c>
      <c r="AI8" s="14" t="n">
        <v>46041.76461506095</v>
      </c>
      <c r="AJ8" s="13" t="n">
        <v>0</v>
      </c>
      <c r="AK8" s="11" t="inlineStr">
        <is>
          <t>NIL</t>
        </is>
      </c>
      <c r="AL8" s="13">
        <f>IF(X8="","",IF(AN8="Received",0,X8-IF(AJ8&lt;&gt;"",AJ8,0)))</f>
        <v/>
      </c>
      <c r="AM8" s="13" t="n">
        <v>1500</v>
      </c>
      <c r="AN8" s="11" t="inlineStr">
        <is>
          <t>Received</t>
        </is>
      </c>
      <c r="AO8" s="11" t="inlineStr">
        <is>
          <t>Cash</t>
        </is>
      </c>
      <c r="AP8" s="13" t="n">
        <v>0</v>
      </c>
      <c r="AQ8" s="11">
        <f>IF(B8&lt;&gt;"","INV-"&amp;TEXT(ROW()-3,"0000"),"")</f>
        <v/>
      </c>
      <c r="AR8" s="11" t="n"/>
    </row>
    <row r="9">
      <c r="A9" s="7">
        <f>IF(B9&lt;&gt;"",ROW()-3,"")</f>
        <v/>
      </c>
      <c r="B9" s="8" t="n"/>
      <c r="C9" s="9">
        <f>IF(B9&lt;&gt;"","ST-"&amp;TEXT(ROW()-3,"0000"),"")</f>
        <v/>
      </c>
      <c r="D9" s="10" t="n"/>
      <c r="E9" s="11" t="n"/>
      <c r="F9" s="11" t="n"/>
      <c r="G9" s="11" t="n"/>
      <c r="H9" s="10" t="n"/>
      <c r="I9" s="11" t="n"/>
      <c r="J9" s="10" t="n"/>
      <c r="K9" s="10" t="n"/>
      <c r="L9" s="11" t="n"/>
      <c r="M9" s="12" t="n"/>
      <c r="N9" s="11" t="n"/>
      <c r="O9" s="13" t="n"/>
      <c r="P9" s="11" t="n"/>
      <c r="Q9" s="13" t="n"/>
      <c r="R9" s="11" t="n"/>
      <c r="S9" s="13" t="n"/>
      <c r="T9" s="11" t="n"/>
      <c r="U9" s="13" t="n"/>
      <c r="V9" s="13">
        <f>IF(COUNTA(N9)&gt;0,SUM(O9,Q9,S9,U9),"")</f>
        <v/>
      </c>
      <c r="W9" s="13" t="n"/>
      <c r="X9" s="13">
        <f>IF(V9&lt;&gt;"",V9-IF(W9&lt;&gt;"",W9,0),"")</f>
        <v/>
      </c>
      <c r="Y9" s="14" t="n"/>
      <c r="Z9" s="11" t="n"/>
      <c r="AA9" s="11" t="n"/>
      <c r="AB9" s="11" t="n"/>
      <c r="AC9" s="10" t="n"/>
      <c r="AD9" s="11" t="n"/>
      <c r="AE9" s="11" t="n"/>
      <c r="AF9" s="11" t="n"/>
      <c r="AG9" s="14" t="n"/>
      <c r="AH9" s="11" t="n"/>
      <c r="AI9" s="14" t="n"/>
      <c r="AJ9" s="13" t="n"/>
      <c r="AK9" s="11" t="n"/>
      <c r="AL9" s="13">
        <f>IF(X9="","",IF(AN9="Received",0,X9-IF(AJ9&lt;&gt;"",AJ9,0)))</f>
        <v/>
      </c>
      <c r="AM9" s="13" t="n"/>
      <c r="AN9" s="11" t="n"/>
      <c r="AO9" s="11" t="n"/>
      <c r="AP9" s="13" t="n"/>
      <c r="AQ9" s="11">
        <f>IF(B9&lt;&gt;"","INV-"&amp;TEXT(ROW()-3,"0000"),"")</f>
        <v/>
      </c>
      <c r="AR9" s="11" t="n"/>
    </row>
    <row r="10">
      <c r="A10" s="7">
        <f>IF(B10&lt;&gt;"",ROW()-3,"")</f>
        <v/>
      </c>
      <c r="B10" s="8" t="n"/>
      <c r="C10" s="9">
        <f>IF(B10&lt;&gt;"","ST-"&amp;TEXT(ROW()-3,"0000"),"")</f>
        <v/>
      </c>
      <c r="D10" s="10" t="n"/>
      <c r="E10" s="11" t="n"/>
      <c r="F10" s="11" t="n"/>
      <c r="G10" s="11" t="n"/>
      <c r="H10" s="10" t="n"/>
      <c r="I10" s="11" t="n"/>
      <c r="J10" s="10" t="n"/>
      <c r="K10" s="10" t="n"/>
      <c r="L10" s="11" t="n"/>
      <c r="M10" s="12" t="n"/>
      <c r="N10" s="11" t="n"/>
      <c r="O10" s="13" t="n"/>
      <c r="P10" s="11" t="n"/>
      <c r="Q10" s="13" t="n"/>
      <c r="R10" s="11" t="n"/>
      <c r="S10" s="13" t="n"/>
      <c r="T10" s="11" t="n"/>
      <c r="U10" s="13" t="n"/>
      <c r="V10" s="13">
        <f>IF(COUNTA(N10)&gt;0,SUM(O10,Q10,S10,U10),"")</f>
        <v/>
      </c>
      <c r="W10" s="13" t="n"/>
      <c r="X10" s="13">
        <f>IF(V10&lt;&gt;"",V10-IF(W10&lt;&gt;"",W10,0),"")</f>
        <v/>
      </c>
      <c r="Y10" s="14" t="n"/>
      <c r="Z10" s="11" t="n"/>
      <c r="AA10" s="11" t="n"/>
      <c r="AB10" s="11" t="n"/>
      <c r="AC10" s="10" t="n"/>
      <c r="AD10" s="11" t="n"/>
      <c r="AE10" s="11" t="n"/>
      <c r="AF10" s="11" t="n"/>
      <c r="AG10" s="14" t="n"/>
      <c r="AH10" s="11" t="n"/>
      <c r="AI10" s="14" t="n"/>
      <c r="AJ10" s="13" t="n"/>
      <c r="AK10" s="11" t="n"/>
      <c r="AL10" s="13">
        <f>IF(X10="","",IF(AN10="Received",0,X10-IF(AJ10&lt;&gt;"",AJ10,0)))</f>
        <v/>
      </c>
      <c r="AM10" s="13" t="n"/>
      <c r="AN10" s="11" t="n"/>
      <c r="AO10" s="11" t="n"/>
      <c r="AP10" s="13" t="n"/>
      <c r="AQ10" s="11">
        <f>IF(B10&lt;&gt;"","INV-"&amp;TEXT(ROW()-3,"0000"),"")</f>
        <v/>
      </c>
      <c r="AR10" s="11" t="n"/>
    </row>
    <row r="11">
      <c r="A11" s="7">
        <f>IF(B11&lt;&gt;"",ROW()-3,"")</f>
        <v/>
      </c>
      <c r="B11" s="8" t="n"/>
      <c r="C11" s="9">
        <f>IF(B11&lt;&gt;"","ST-"&amp;TEXT(ROW()-3,"0000"),"")</f>
        <v/>
      </c>
      <c r="D11" s="10" t="n"/>
      <c r="E11" s="11" t="n"/>
      <c r="F11" s="11" t="n"/>
      <c r="G11" s="11" t="n"/>
      <c r="H11" s="10" t="n"/>
      <c r="I11" s="11" t="n"/>
      <c r="J11" s="10" t="n"/>
      <c r="K11" s="10" t="n"/>
      <c r="L11" s="11" t="n"/>
      <c r="M11" s="12" t="n"/>
      <c r="N11" s="11" t="n"/>
      <c r="O11" s="13" t="n"/>
      <c r="P11" s="11" t="n"/>
      <c r="Q11" s="13" t="n"/>
      <c r="R11" s="11" t="n"/>
      <c r="S11" s="13" t="n"/>
      <c r="T11" s="11" t="n"/>
      <c r="U11" s="13" t="n"/>
      <c r="V11" s="13">
        <f>IF(COUNTA(N11)&gt;0,SUM(O11,Q11,S11,U11),"")</f>
        <v/>
      </c>
      <c r="W11" s="13" t="n"/>
      <c r="X11" s="13">
        <f>IF(V11&lt;&gt;"",V11-IF(W11&lt;&gt;"",W11,0),"")</f>
        <v/>
      </c>
      <c r="Y11" s="14" t="n"/>
      <c r="Z11" s="11" t="n"/>
      <c r="AA11" s="11" t="n"/>
      <c r="AB11" s="11" t="n"/>
      <c r="AC11" s="10" t="n"/>
      <c r="AD11" s="11" t="n"/>
      <c r="AE11" s="11" t="n"/>
      <c r="AF11" s="11" t="n"/>
      <c r="AG11" s="14" t="n"/>
      <c r="AH11" s="11" t="n"/>
      <c r="AI11" s="14" t="n"/>
      <c r="AJ11" s="13" t="n"/>
      <c r="AK11" s="11" t="n"/>
      <c r="AL11" s="13">
        <f>IF(X11="","",IF(AN11="Received",0,X11-IF(AJ11&lt;&gt;"",AJ11,0)))</f>
        <v/>
      </c>
      <c r="AM11" s="13" t="n"/>
      <c r="AN11" s="11" t="n"/>
      <c r="AO11" s="11" t="n"/>
      <c r="AP11" s="13" t="n"/>
      <c r="AQ11" s="11">
        <f>IF(B11&lt;&gt;"","INV-"&amp;TEXT(ROW()-3,"0000"),"")</f>
        <v/>
      </c>
      <c r="AR11" s="11" t="n"/>
    </row>
    <row r="12">
      <c r="A12" s="7">
        <f>IF(B12&lt;&gt;"",ROW()-3,"")</f>
        <v/>
      </c>
      <c r="B12" s="8" t="n"/>
      <c r="C12" s="9">
        <f>IF(B12&lt;&gt;"","ST-"&amp;TEXT(ROW()-3,"0000"),"")</f>
        <v/>
      </c>
      <c r="D12" s="10" t="n"/>
      <c r="E12" s="11" t="n"/>
      <c r="F12" s="11" t="n"/>
      <c r="G12" s="11" t="n"/>
      <c r="H12" s="10" t="n"/>
      <c r="I12" s="11" t="n"/>
      <c r="J12" s="10" t="n"/>
      <c r="K12" s="10" t="n"/>
      <c r="L12" s="11" t="n"/>
      <c r="M12" s="12" t="n"/>
      <c r="N12" s="11" t="n"/>
      <c r="O12" s="13" t="n"/>
      <c r="P12" s="11" t="n"/>
      <c r="Q12" s="13" t="n"/>
      <c r="R12" s="11" t="n"/>
      <c r="S12" s="13" t="n"/>
      <c r="T12" s="11" t="n"/>
      <c r="U12" s="13" t="n"/>
      <c r="V12" s="13">
        <f>IF(COUNTA(N12)&gt;0,SUM(O12,Q12,S12,U12),"")</f>
        <v/>
      </c>
      <c r="W12" s="13" t="n"/>
      <c r="X12" s="13">
        <f>IF(V12&lt;&gt;"",V12-IF(W12&lt;&gt;"",W12,0),"")</f>
        <v/>
      </c>
      <c r="Y12" s="14" t="n"/>
      <c r="Z12" s="11" t="n"/>
      <c r="AA12" s="11" t="n"/>
      <c r="AB12" s="11" t="n"/>
      <c r="AC12" s="10" t="n"/>
      <c r="AD12" s="11" t="n"/>
      <c r="AE12" s="11" t="n"/>
      <c r="AF12" s="11" t="n"/>
      <c r="AG12" s="14" t="n"/>
      <c r="AH12" s="11" t="n"/>
      <c r="AI12" s="14" t="n"/>
      <c r="AJ12" s="13" t="n"/>
      <c r="AK12" s="11" t="n"/>
      <c r="AL12" s="13">
        <f>IF(X12="","",IF(AN12="Received",0,X12-IF(AJ12&lt;&gt;"",AJ12,0)))</f>
        <v/>
      </c>
      <c r="AM12" s="13" t="n"/>
      <c r="AN12" s="11" t="n"/>
      <c r="AO12" s="11" t="n"/>
      <c r="AP12" s="13" t="n"/>
      <c r="AQ12" s="11">
        <f>IF(B12&lt;&gt;"","INV-"&amp;TEXT(ROW()-3,"0000"),"")</f>
        <v/>
      </c>
      <c r="AR12" s="11" t="n"/>
    </row>
    <row r="13">
      <c r="A13" s="7">
        <f>IF(B13&lt;&gt;"",ROW()-3,"")</f>
        <v/>
      </c>
      <c r="B13" s="8" t="n"/>
      <c r="C13" s="9">
        <f>IF(B13&lt;&gt;"","ST-"&amp;TEXT(ROW()-3,"0000"),"")</f>
        <v/>
      </c>
      <c r="D13" s="10" t="n"/>
      <c r="E13" s="11" t="n"/>
      <c r="F13" s="11" t="n"/>
      <c r="G13" s="11" t="n"/>
      <c r="H13" s="10" t="n"/>
      <c r="I13" s="11" t="n"/>
      <c r="J13" s="10" t="n"/>
      <c r="K13" s="10" t="n"/>
      <c r="L13" s="11" t="n"/>
      <c r="M13" s="12" t="n"/>
      <c r="N13" s="11" t="n"/>
      <c r="O13" s="13" t="n"/>
      <c r="P13" s="11" t="n"/>
      <c r="Q13" s="13" t="n"/>
      <c r="R13" s="11" t="n"/>
      <c r="S13" s="13" t="n"/>
      <c r="T13" s="11" t="n"/>
      <c r="U13" s="13" t="n"/>
      <c r="V13" s="13">
        <f>IF(COUNTA(N13)&gt;0,SUM(O13,Q13,S13,U13),"")</f>
        <v/>
      </c>
      <c r="W13" s="13" t="n"/>
      <c r="X13" s="13">
        <f>IF(V13&lt;&gt;"",V13-IF(W13&lt;&gt;"",W13,0),"")</f>
        <v/>
      </c>
      <c r="Y13" s="14" t="n"/>
      <c r="Z13" s="11" t="n"/>
      <c r="AA13" s="11" t="n"/>
      <c r="AB13" s="11" t="n"/>
      <c r="AC13" s="10" t="n"/>
      <c r="AD13" s="11" t="n"/>
      <c r="AE13" s="11" t="n"/>
      <c r="AF13" s="11" t="n"/>
      <c r="AG13" s="14" t="n"/>
      <c r="AH13" s="11" t="n"/>
      <c r="AI13" s="14" t="n"/>
      <c r="AJ13" s="13" t="n"/>
      <c r="AK13" s="11" t="n"/>
      <c r="AL13" s="13">
        <f>IF(X13="","",IF(AN13="Received",0,X13-IF(AJ13&lt;&gt;"",AJ13,0)))</f>
        <v/>
      </c>
      <c r="AM13" s="13" t="n"/>
      <c r="AN13" s="11" t="n"/>
      <c r="AO13" s="11" t="n"/>
      <c r="AP13" s="13" t="n"/>
      <c r="AQ13" s="11">
        <f>IF(B13&lt;&gt;"","INV-"&amp;TEXT(ROW()-3,"0000"),"")</f>
        <v/>
      </c>
      <c r="AR13" s="11" t="n"/>
    </row>
    <row r="14">
      <c r="A14" s="7">
        <f>IF(B14&lt;&gt;"",ROW()-3,"")</f>
        <v/>
      </c>
      <c r="B14" s="8" t="n"/>
      <c r="C14" s="9">
        <f>IF(B14&lt;&gt;"","ST-"&amp;TEXT(ROW()-3,"0000"),"")</f>
        <v/>
      </c>
      <c r="D14" s="10" t="n"/>
      <c r="E14" s="11" t="n"/>
      <c r="F14" s="11" t="n"/>
      <c r="G14" s="11" t="n"/>
      <c r="H14" s="10" t="n"/>
      <c r="I14" s="11" t="n"/>
      <c r="J14" s="10" t="n"/>
      <c r="K14" s="10" t="n"/>
      <c r="L14" s="11" t="n"/>
      <c r="M14" s="12" t="n"/>
      <c r="N14" s="11" t="n"/>
      <c r="O14" s="13" t="n"/>
      <c r="P14" s="11" t="n"/>
      <c r="Q14" s="13" t="n"/>
      <c r="R14" s="11" t="n"/>
      <c r="S14" s="13" t="n"/>
      <c r="T14" s="11" t="n"/>
      <c r="U14" s="13" t="n"/>
      <c r="V14" s="13">
        <f>IF(COUNTA(N14)&gt;0,SUM(O14,Q14,S14,U14),"")</f>
        <v/>
      </c>
      <c r="W14" s="13" t="n"/>
      <c r="X14" s="13">
        <f>IF(V14&lt;&gt;"",V14-IF(W14&lt;&gt;"",W14,0),"")</f>
        <v/>
      </c>
      <c r="Y14" s="14" t="n"/>
      <c r="Z14" s="11" t="n"/>
      <c r="AA14" s="11" t="n"/>
      <c r="AB14" s="11" t="n"/>
      <c r="AC14" s="10" t="n"/>
      <c r="AD14" s="11" t="n"/>
      <c r="AE14" s="11" t="n"/>
      <c r="AF14" s="11" t="n"/>
      <c r="AG14" s="14" t="n"/>
      <c r="AH14" s="11" t="n"/>
      <c r="AI14" s="14" t="n"/>
      <c r="AJ14" s="13" t="n"/>
      <c r="AK14" s="11" t="n"/>
      <c r="AL14" s="13">
        <f>IF(X14="","",IF(AN14="Received",0,X14-IF(AJ14&lt;&gt;"",AJ14,0)))</f>
        <v/>
      </c>
      <c r="AM14" s="13" t="n"/>
      <c r="AN14" s="11" t="n"/>
      <c r="AO14" s="11" t="n"/>
      <c r="AP14" s="13" t="n"/>
      <c r="AQ14" s="11">
        <f>IF(B14&lt;&gt;"","INV-"&amp;TEXT(ROW()-3,"0000"),"")</f>
        <v/>
      </c>
      <c r="AR14" s="11" t="n"/>
    </row>
    <row r="15">
      <c r="A15" s="7">
        <f>IF(B15&lt;&gt;"",ROW()-3,"")</f>
        <v/>
      </c>
      <c r="B15" s="8" t="n"/>
      <c r="C15" s="9">
        <f>IF(B15&lt;&gt;"","ST-"&amp;TEXT(ROW()-3,"0000"),"")</f>
        <v/>
      </c>
      <c r="D15" s="10" t="n"/>
      <c r="E15" s="11" t="n"/>
      <c r="F15" s="11" t="n"/>
      <c r="G15" s="11" t="n"/>
      <c r="H15" s="10" t="n"/>
      <c r="I15" s="11" t="n"/>
      <c r="J15" s="10" t="n"/>
      <c r="K15" s="10" t="n"/>
      <c r="L15" s="11" t="n"/>
      <c r="M15" s="12" t="n"/>
      <c r="N15" s="11" t="n"/>
      <c r="O15" s="13" t="n"/>
      <c r="P15" s="11" t="n"/>
      <c r="Q15" s="13" t="n"/>
      <c r="R15" s="11" t="n"/>
      <c r="S15" s="13" t="n"/>
      <c r="T15" s="11" t="n"/>
      <c r="U15" s="13" t="n"/>
      <c r="V15" s="13">
        <f>IF(COUNTA(N15)&gt;0,SUM(O15,Q15,S15,U15),"")</f>
        <v/>
      </c>
      <c r="W15" s="13" t="n"/>
      <c r="X15" s="13">
        <f>IF(V15&lt;&gt;"",V15-IF(W15&lt;&gt;"",W15,0),"")</f>
        <v/>
      </c>
      <c r="Y15" s="14" t="n"/>
      <c r="Z15" s="11" t="n"/>
      <c r="AA15" s="11" t="n"/>
      <c r="AB15" s="11" t="n"/>
      <c r="AC15" s="10" t="n"/>
      <c r="AD15" s="11" t="n"/>
      <c r="AE15" s="11" t="n"/>
      <c r="AF15" s="11" t="n"/>
      <c r="AG15" s="14" t="n"/>
      <c r="AH15" s="11" t="n"/>
      <c r="AI15" s="14" t="n"/>
      <c r="AJ15" s="13" t="n"/>
      <c r="AK15" s="11" t="n"/>
      <c r="AL15" s="13">
        <f>IF(X15="","",IF(AN15="Received",0,X15-IF(AJ15&lt;&gt;"",AJ15,0)))</f>
        <v/>
      </c>
      <c r="AM15" s="13" t="n"/>
      <c r="AN15" s="11" t="n"/>
      <c r="AO15" s="11" t="n"/>
      <c r="AP15" s="13" t="n"/>
      <c r="AQ15" s="11">
        <f>IF(B15&lt;&gt;"","INV-"&amp;TEXT(ROW()-3,"0000"),"")</f>
        <v/>
      </c>
      <c r="AR15" s="11" t="n"/>
    </row>
    <row r="16">
      <c r="A16" s="7">
        <f>IF(B16&lt;&gt;"",ROW()-3,"")</f>
        <v/>
      </c>
      <c r="B16" s="8" t="n"/>
      <c r="C16" s="9">
        <f>IF(B16&lt;&gt;"","ST-"&amp;TEXT(ROW()-3,"0000"),"")</f>
        <v/>
      </c>
      <c r="D16" s="10" t="n"/>
      <c r="E16" s="11" t="n"/>
      <c r="F16" s="11" t="n"/>
      <c r="G16" s="11" t="n"/>
      <c r="H16" s="10" t="n"/>
      <c r="I16" s="11" t="n"/>
      <c r="J16" s="10" t="n"/>
      <c r="K16" s="10" t="n"/>
      <c r="L16" s="11" t="n"/>
      <c r="M16" s="12" t="n"/>
      <c r="N16" s="11" t="n"/>
      <c r="O16" s="13" t="n"/>
      <c r="P16" s="11" t="n"/>
      <c r="Q16" s="13" t="n"/>
      <c r="R16" s="11" t="n"/>
      <c r="S16" s="13" t="n"/>
      <c r="T16" s="11" t="n"/>
      <c r="U16" s="13" t="n"/>
      <c r="V16" s="13">
        <f>IF(COUNTA(N16)&gt;0,SUM(O16,Q16,S16,U16),"")</f>
        <v/>
      </c>
      <c r="W16" s="13" t="n"/>
      <c r="X16" s="13">
        <f>IF(V16&lt;&gt;"",V16-IF(W16&lt;&gt;"",W16,0),"")</f>
        <v/>
      </c>
      <c r="Y16" s="14" t="n"/>
      <c r="Z16" s="11" t="n"/>
      <c r="AA16" s="11" t="n"/>
      <c r="AB16" s="11" t="n"/>
      <c r="AC16" s="10" t="n"/>
      <c r="AD16" s="11" t="n"/>
      <c r="AE16" s="11" t="n"/>
      <c r="AF16" s="11" t="n"/>
      <c r="AG16" s="14" t="n"/>
      <c r="AH16" s="11" t="n"/>
      <c r="AI16" s="14" t="n"/>
      <c r="AJ16" s="13" t="n"/>
      <c r="AK16" s="11" t="n"/>
      <c r="AL16" s="13">
        <f>IF(X16="","",IF(AN16="Received",0,X16-IF(AJ16&lt;&gt;"",AJ16,0)))</f>
        <v/>
      </c>
      <c r="AM16" s="13" t="n"/>
      <c r="AN16" s="11" t="n"/>
      <c r="AO16" s="11" t="n"/>
      <c r="AP16" s="13" t="n"/>
      <c r="AQ16" s="11">
        <f>IF(B16&lt;&gt;"","INV-"&amp;TEXT(ROW()-3,"0000"),"")</f>
        <v/>
      </c>
      <c r="AR16" s="11" t="n"/>
    </row>
    <row r="17">
      <c r="A17" s="7">
        <f>IF(B17&lt;&gt;"",ROW()-3,"")</f>
        <v/>
      </c>
      <c r="B17" s="8" t="n"/>
      <c r="C17" s="9">
        <f>IF(B17&lt;&gt;"","ST-"&amp;TEXT(ROW()-3,"0000"),"")</f>
        <v/>
      </c>
      <c r="D17" s="10" t="n"/>
      <c r="E17" s="11" t="n"/>
      <c r="F17" s="11" t="n"/>
      <c r="G17" s="11" t="n"/>
      <c r="H17" s="10" t="n"/>
      <c r="I17" s="11" t="n"/>
      <c r="J17" s="10" t="n"/>
      <c r="K17" s="10" t="n"/>
      <c r="L17" s="11" t="n"/>
      <c r="M17" s="12" t="n"/>
      <c r="N17" s="11" t="n"/>
      <c r="O17" s="13" t="n"/>
      <c r="P17" s="11" t="n"/>
      <c r="Q17" s="13" t="n"/>
      <c r="R17" s="11" t="n"/>
      <c r="S17" s="13" t="n"/>
      <c r="T17" s="11" t="n"/>
      <c r="U17" s="13" t="n"/>
      <c r="V17" s="13">
        <f>IF(COUNTA(N17)&gt;0,SUM(O17,Q17,S17,U17),"")</f>
        <v/>
      </c>
      <c r="W17" s="13" t="n"/>
      <c r="X17" s="13">
        <f>IF(V17&lt;&gt;"",V17-IF(W17&lt;&gt;"",W17,0),"")</f>
        <v/>
      </c>
      <c r="Y17" s="14" t="n"/>
      <c r="Z17" s="11" t="n"/>
      <c r="AA17" s="11" t="n"/>
      <c r="AB17" s="11" t="n"/>
      <c r="AC17" s="10" t="n"/>
      <c r="AD17" s="11" t="n"/>
      <c r="AE17" s="11" t="n"/>
      <c r="AF17" s="11" t="n"/>
      <c r="AG17" s="14" t="n"/>
      <c r="AH17" s="11" t="n"/>
      <c r="AI17" s="14" t="n"/>
      <c r="AJ17" s="13" t="n"/>
      <c r="AK17" s="11" t="n"/>
      <c r="AL17" s="13">
        <f>IF(X17="","",IF(AN17="Received",0,X17-IF(AJ17&lt;&gt;"",AJ17,0)))</f>
        <v/>
      </c>
      <c r="AM17" s="13" t="n"/>
      <c r="AN17" s="11" t="n"/>
      <c r="AO17" s="11" t="n"/>
      <c r="AP17" s="13" t="n"/>
      <c r="AQ17" s="11">
        <f>IF(B17&lt;&gt;"","INV-"&amp;TEXT(ROW()-3,"0000"),"")</f>
        <v/>
      </c>
      <c r="AR17" s="11" t="n"/>
    </row>
    <row r="18">
      <c r="A18" s="7">
        <f>IF(B18&lt;&gt;"",ROW()-3,"")</f>
        <v/>
      </c>
      <c r="B18" s="8" t="n"/>
      <c r="C18" s="9">
        <f>IF(B18&lt;&gt;"","ST-"&amp;TEXT(ROW()-3,"0000"),"")</f>
        <v/>
      </c>
      <c r="D18" s="10" t="n"/>
      <c r="E18" s="11" t="n"/>
      <c r="F18" s="11" t="n"/>
      <c r="G18" s="11" t="n"/>
      <c r="H18" s="10" t="n"/>
      <c r="I18" s="11" t="n"/>
      <c r="J18" s="10" t="n"/>
      <c r="K18" s="10" t="n"/>
      <c r="L18" s="11" t="n"/>
      <c r="M18" s="12" t="n"/>
      <c r="N18" s="11" t="n"/>
      <c r="O18" s="13" t="n"/>
      <c r="P18" s="11" t="n"/>
      <c r="Q18" s="13" t="n"/>
      <c r="R18" s="11" t="n"/>
      <c r="S18" s="13" t="n"/>
      <c r="T18" s="11" t="n"/>
      <c r="U18" s="13" t="n"/>
      <c r="V18" s="13">
        <f>IF(COUNTA(N18)&gt;0,SUM(O18,Q18,S18,U18),"")</f>
        <v/>
      </c>
      <c r="W18" s="13" t="n"/>
      <c r="X18" s="13">
        <f>IF(V18&lt;&gt;"",V18-IF(W18&lt;&gt;"",W18,0),"")</f>
        <v/>
      </c>
      <c r="Y18" s="14" t="n"/>
      <c r="Z18" s="11" t="n"/>
      <c r="AA18" s="11" t="n"/>
      <c r="AB18" s="11" t="n"/>
      <c r="AC18" s="10" t="n"/>
      <c r="AD18" s="11" t="n"/>
      <c r="AE18" s="11" t="n"/>
      <c r="AF18" s="11" t="n"/>
      <c r="AG18" s="14" t="n"/>
      <c r="AH18" s="11" t="n"/>
      <c r="AI18" s="14" t="n"/>
      <c r="AJ18" s="13" t="n"/>
      <c r="AK18" s="11" t="n"/>
      <c r="AL18" s="13">
        <f>IF(X18="","",IF(AN18="Received",0,X18-IF(AJ18&lt;&gt;"",AJ18,0)))</f>
        <v/>
      </c>
      <c r="AM18" s="13" t="n"/>
      <c r="AN18" s="11" t="n"/>
      <c r="AO18" s="11" t="n"/>
      <c r="AP18" s="13" t="n"/>
      <c r="AQ18" s="11">
        <f>IF(B18&lt;&gt;"","INV-"&amp;TEXT(ROW()-3,"0000"),"")</f>
        <v/>
      </c>
      <c r="AR18" s="11" t="n"/>
    </row>
    <row r="19">
      <c r="A19" s="7">
        <f>IF(B19&lt;&gt;"",ROW()-3,"")</f>
        <v/>
      </c>
      <c r="B19" s="8" t="n"/>
      <c r="C19" s="9">
        <f>IF(B19&lt;&gt;"","ST-"&amp;TEXT(ROW()-3,"0000"),"")</f>
        <v/>
      </c>
      <c r="D19" s="10" t="n"/>
      <c r="E19" s="11" t="n"/>
      <c r="F19" s="11" t="n"/>
      <c r="G19" s="11" t="n"/>
      <c r="H19" s="10" t="n"/>
      <c r="I19" s="11" t="n"/>
      <c r="J19" s="10" t="n"/>
      <c r="K19" s="10" t="n"/>
      <c r="L19" s="11" t="n"/>
      <c r="M19" s="12" t="n"/>
      <c r="N19" s="11" t="n"/>
      <c r="O19" s="13" t="n"/>
      <c r="P19" s="11" t="n"/>
      <c r="Q19" s="13" t="n"/>
      <c r="R19" s="11" t="n"/>
      <c r="S19" s="13" t="n"/>
      <c r="T19" s="11" t="n"/>
      <c r="U19" s="13" t="n"/>
      <c r="V19" s="13">
        <f>IF(COUNTA(N19)&gt;0,SUM(O19,Q19,S19,U19),"")</f>
        <v/>
      </c>
      <c r="W19" s="13" t="n"/>
      <c r="X19" s="13">
        <f>IF(V19&lt;&gt;"",V19-IF(W19&lt;&gt;"",W19,0),"")</f>
        <v/>
      </c>
      <c r="Y19" s="14" t="n"/>
      <c r="Z19" s="11" t="n"/>
      <c r="AA19" s="11" t="n"/>
      <c r="AB19" s="11" t="n"/>
      <c r="AC19" s="10" t="n"/>
      <c r="AD19" s="11" t="n"/>
      <c r="AE19" s="11" t="n"/>
      <c r="AF19" s="11" t="n"/>
      <c r="AG19" s="14" t="n"/>
      <c r="AH19" s="11" t="n"/>
      <c r="AI19" s="14" t="n"/>
      <c r="AJ19" s="13" t="n"/>
      <c r="AK19" s="11" t="n"/>
      <c r="AL19" s="13">
        <f>IF(X19="","",IF(AN19="Received",0,X19-IF(AJ19&lt;&gt;"",AJ19,0)))</f>
        <v/>
      </c>
      <c r="AM19" s="13" t="n"/>
      <c r="AN19" s="11" t="n"/>
      <c r="AO19" s="11" t="n"/>
      <c r="AP19" s="13" t="n"/>
      <c r="AQ19" s="11">
        <f>IF(B19&lt;&gt;"","INV-"&amp;TEXT(ROW()-3,"0000"),"")</f>
        <v/>
      </c>
      <c r="AR19" s="11" t="n"/>
    </row>
    <row r="20">
      <c r="A20" s="7">
        <f>IF(B20&lt;&gt;"",ROW()-3,"")</f>
        <v/>
      </c>
      <c r="B20" s="8" t="n"/>
      <c r="C20" s="9">
        <f>IF(B20&lt;&gt;"","ST-"&amp;TEXT(ROW()-3,"0000"),"")</f>
        <v/>
      </c>
      <c r="D20" s="10" t="n"/>
      <c r="E20" s="11" t="n"/>
      <c r="F20" s="11" t="n"/>
      <c r="G20" s="11" t="n"/>
      <c r="H20" s="10" t="n"/>
      <c r="I20" s="11" t="n"/>
      <c r="J20" s="10" t="n"/>
      <c r="K20" s="10" t="n"/>
      <c r="L20" s="11" t="n"/>
      <c r="M20" s="12" t="n"/>
      <c r="N20" s="11" t="n"/>
      <c r="O20" s="13" t="n"/>
      <c r="P20" s="11" t="n"/>
      <c r="Q20" s="13" t="n"/>
      <c r="R20" s="11" t="n"/>
      <c r="S20" s="13" t="n"/>
      <c r="T20" s="11" t="n"/>
      <c r="U20" s="13" t="n"/>
      <c r="V20" s="13">
        <f>IF(COUNTA(N20)&gt;0,SUM(O20,Q20,S20,U20),"")</f>
        <v/>
      </c>
      <c r="W20" s="13" t="n"/>
      <c r="X20" s="13">
        <f>IF(V20&lt;&gt;"",V20-IF(W20&lt;&gt;"",W20,0),"")</f>
        <v/>
      </c>
      <c r="Y20" s="14" t="n"/>
      <c r="Z20" s="11" t="n"/>
      <c r="AA20" s="11" t="n"/>
      <c r="AB20" s="11" t="n"/>
      <c r="AC20" s="10" t="n"/>
      <c r="AD20" s="11" t="n"/>
      <c r="AE20" s="11" t="n"/>
      <c r="AF20" s="11" t="n"/>
      <c r="AG20" s="14" t="n"/>
      <c r="AH20" s="11" t="n"/>
      <c r="AI20" s="14" t="n"/>
      <c r="AJ20" s="13" t="n"/>
      <c r="AK20" s="11" t="n"/>
      <c r="AL20" s="13">
        <f>IF(X20="","",IF(AN20="Received",0,X20-IF(AJ20&lt;&gt;"",AJ20,0)))</f>
        <v/>
      </c>
      <c r="AM20" s="13" t="n"/>
      <c r="AN20" s="11" t="n"/>
      <c r="AO20" s="11" t="n"/>
      <c r="AP20" s="13" t="n"/>
      <c r="AQ20" s="11">
        <f>IF(B20&lt;&gt;"","INV-"&amp;TEXT(ROW()-3,"0000"),"")</f>
        <v/>
      </c>
      <c r="AR20" s="11" t="n"/>
    </row>
    <row r="21">
      <c r="A21" s="7">
        <f>IF(B21&lt;&gt;"",ROW()-3,"")</f>
        <v/>
      </c>
      <c r="B21" s="8" t="n"/>
      <c r="C21" s="9">
        <f>IF(B21&lt;&gt;"","ST-"&amp;TEXT(ROW()-3,"0000"),"")</f>
        <v/>
      </c>
      <c r="D21" s="10" t="n"/>
      <c r="E21" s="11" t="n"/>
      <c r="F21" s="11" t="n"/>
      <c r="G21" s="11" t="n"/>
      <c r="H21" s="10" t="n"/>
      <c r="I21" s="11" t="n"/>
      <c r="J21" s="10" t="n"/>
      <c r="K21" s="10" t="n"/>
      <c r="L21" s="11" t="n"/>
      <c r="M21" s="12" t="n"/>
      <c r="N21" s="11" t="n"/>
      <c r="O21" s="13" t="n"/>
      <c r="P21" s="11" t="n"/>
      <c r="Q21" s="13" t="n"/>
      <c r="R21" s="11" t="n"/>
      <c r="S21" s="13" t="n"/>
      <c r="T21" s="11" t="n"/>
      <c r="U21" s="13" t="n"/>
      <c r="V21" s="13">
        <f>IF(COUNTA(N21)&gt;0,SUM(O21,Q21,S21,U21),"")</f>
        <v/>
      </c>
      <c r="W21" s="13" t="n"/>
      <c r="X21" s="13">
        <f>IF(V21&lt;&gt;"",V21-IF(W21&lt;&gt;"",W21,0),"")</f>
        <v/>
      </c>
      <c r="Y21" s="14" t="n"/>
      <c r="Z21" s="11" t="n"/>
      <c r="AA21" s="11" t="n"/>
      <c r="AB21" s="11" t="n"/>
      <c r="AC21" s="10" t="n"/>
      <c r="AD21" s="11" t="n"/>
      <c r="AE21" s="11" t="n"/>
      <c r="AF21" s="11" t="n"/>
      <c r="AG21" s="14" t="n"/>
      <c r="AH21" s="11" t="n"/>
      <c r="AI21" s="14" t="n"/>
      <c r="AJ21" s="13" t="n"/>
      <c r="AK21" s="11" t="n"/>
      <c r="AL21" s="13">
        <f>IF(X21="","",IF(AN21="Received",0,X21-IF(AJ21&lt;&gt;"",AJ21,0)))</f>
        <v/>
      </c>
      <c r="AM21" s="13" t="n"/>
      <c r="AN21" s="11" t="n"/>
      <c r="AO21" s="11" t="n"/>
      <c r="AP21" s="13" t="n"/>
      <c r="AQ21" s="11">
        <f>IF(B21&lt;&gt;"","INV-"&amp;TEXT(ROW()-3,"0000"),"")</f>
        <v/>
      </c>
      <c r="AR21" s="11" t="n"/>
    </row>
    <row r="22">
      <c r="A22" s="7">
        <f>IF(B22&lt;&gt;"",ROW()-3,"")</f>
        <v/>
      </c>
      <c r="B22" s="8" t="n"/>
      <c r="C22" s="9">
        <f>IF(B22&lt;&gt;"","ST-"&amp;TEXT(ROW()-3,"0000"),"")</f>
        <v/>
      </c>
      <c r="D22" s="10" t="n"/>
      <c r="E22" s="11" t="n"/>
      <c r="F22" s="11" t="n"/>
      <c r="G22" s="11" t="n"/>
      <c r="H22" s="10" t="n"/>
      <c r="I22" s="11" t="n"/>
      <c r="J22" s="10" t="n"/>
      <c r="K22" s="10" t="n"/>
      <c r="L22" s="11" t="n"/>
      <c r="M22" s="12" t="n"/>
      <c r="N22" s="11" t="n"/>
      <c r="O22" s="13" t="n"/>
      <c r="P22" s="11" t="n"/>
      <c r="Q22" s="13" t="n"/>
      <c r="R22" s="11" t="n"/>
      <c r="S22" s="13" t="n"/>
      <c r="T22" s="11" t="n"/>
      <c r="U22" s="13" t="n"/>
      <c r="V22" s="13">
        <f>IF(COUNTA(N22)&gt;0,SUM(O22,Q22,S22,U22),"")</f>
        <v/>
      </c>
      <c r="W22" s="13" t="n"/>
      <c r="X22" s="13">
        <f>IF(V22&lt;&gt;"",V22-IF(W22&lt;&gt;"",W22,0),"")</f>
        <v/>
      </c>
      <c r="Y22" s="14" t="n"/>
      <c r="Z22" s="11" t="n"/>
      <c r="AA22" s="11" t="n"/>
      <c r="AB22" s="11" t="n"/>
      <c r="AC22" s="10" t="n"/>
      <c r="AD22" s="11" t="n"/>
      <c r="AE22" s="11" t="n"/>
      <c r="AF22" s="11" t="n"/>
      <c r="AG22" s="14" t="n"/>
      <c r="AH22" s="11" t="n"/>
      <c r="AI22" s="14" t="n"/>
      <c r="AJ22" s="13" t="n"/>
      <c r="AK22" s="11" t="n"/>
      <c r="AL22" s="13">
        <f>IF(X22="","",IF(AN22="Received",0,X22-IF(AJ22&lt;&gt;"",AJ22,0)))</f>
        <v/>
      </c>
      <c r="AM22" s="13" t="n"/>
      <c r="AN22" s="11" t="n"/>
      <c r="AO22" s="11" t="n"/>
      <c r="AP22" s="13" t="n"/>
      <c r="AQ22" s="11">
        <f>IF(B22&lt;&gt;"","INV-"&amp;TEXT(ROW()-3,"0000"),"")</f>
        <v/>
      </c>
      <c r="AR22" s="11" t="n"/>
    </row>
    <row r="23">
      <c r="A23" s="7">
        <f>IF(B23&lt;&gt;"",ROW()-3,"")</f>
        <v/>
      </c>
      <c r="B23" s="8" t="n"/>
      <c r="C23" s="9">
        <f>IF(B23&lt;&gt;"","ST-"&amp;TEXT(ROW()-3,"0000"),"")</f>
        <v/>
      </c>
      <c r="D23" s="10" t="n"/>
      <c r="E23" s="11" t="n"/>
      <c r="F23" s="11" t="n"/>
      <c r="G23" s="11" t="n"/>
      <c r="H23" s="10" t="n"/>
      <c r="I23" s="11" t="n"/>
      <c r="J23" s="10" t="n"/>
      <c r="K23" s="10" t="n"/>
      <c r="L23" s="11" t="n"/>
      <c r="M23" s="12" t="n"/>
      <c r="N23" s="11" t="n"/>
      <c r="O23" s="13" t="n"/>
      <c r="P23" s="11" t="n"/>
      <c r="Q23" s="13" t="n"/>
      <c r="R23" s="11" t="n"/>
      <c r="S23" s="13" t="n"/>
      <c r="T23" s="11" t="n"/>
      <c r="U23" s="13" t="n"/>
      <c r="V23" s="13">
        <f>IF(COUNTA(N23)&gt;0,SUM(O23,Q23,S23,U23),"")</f>
        <v/>
      </c>
      <c r="W23" s="13" t="n"/>
      <c r="X23" s="13">
        <f>IF(V23&lt;&gt;"",V23-IF(W23&lt;&gt;"",W23,0),"")</f>
        <v/>
      </c>
      <c r="Y23" s="14" t="n"/>
      <c r="Z23" s="11" t="n"/>
      <c r="AA23" s="11" t="n"/>
      <c r="AB23" s="11" t="n"/>
      <c r="AC23" s="10" t="n"/>
      <c r="AD23" s="11" t="n"/>
      <c r="AE23" s="11" t="n"/>
      <c r="AF23" s="11" t="n"/>
      <c r="AG23" s="14" t="n"/>
      <c r="AH23" s="11" t="n"/>
      <c r="AI23" s="14" t="n"/>
      <c r="AJ23" s="13" t="n"/>
      <c r="AK23" s="11" t="n"/>
      <c r="AL23" s="13">
        <f>IF(X23="","",IF(AN23="Received",0,X23-IF(AJ23&lt;&gt;"",AJ23,0)))</f>
        <v/>
      </c>
      <c r="AM23" s="13" t="n"/>
      <c r="AN23" s="11" t="n"/>
      <c r="AO23" s="11" t="n"/>
      <c r="AP23" s="13" t="n"/>
      <c r="AQ23" s="11">
        <f>IF(B23&lt;&gt;"","INV-"&amp;TEXT(ROW()-3,"0000"),"")</f>
        <v/>
      </c>
      <c r="AR23" s="11" t="n"/>
    </row>
    <row r="24">
      <c r="A24" s="7">
        <f>IF(B24&lt;&gt;"",ROW()-3,"")</f>
        <v/>
      </c>
      <c r="B24" s="8" t="n"/>
      <c r="C24" s="9">
        <f>IF(B24&lt;&gt;"","ST-"&amp;TEXT(ROW()-3,"0000"),"")</f>
        <v/>
      </c>
      <c r="D24" s="10" t="n"/>
      <c r="E24" s="11" t="n"/>
      <c r="F24" s="11" t="n"/>
      <c r="G24" s="11" t="n"/>
      <c r="H24" s="10" t="n"/>
      <c r="I24" s="11" t="n"/>
      <c r="J24" s="10" t="n"/>
      <c r="K24" s="10" t="n"/>
      <c r="L24" s="11" t="n"/>
      <c r="M24" s="12" t="n"/>
      <c r="N24" s="11" t="n"/>
      <c r="O24" s="13" t="n"/>
      <c r="P24" s="11" t="n"/>
      <c r="Q24" s="13" t="n"/>
      <c r="R24" s="11" t="n"/>
      <c r="S24" s="13" t="n"/>
      <c r="T24" s="11" t="n"/>
      <c r="U24" s="13" t="n"/>
      <c r="V24" s="13">
        <f>IF(COUNTA(N24)&gt;0,SUM(O24,Q24,S24,U24),"")</f>
        <v/>
      </c>
      <c r="W24" s="13" t="n"/>
      <c r="X24" s="13">
        <f>IF(V24&lt;&gt;"",V24-IF(W24&lt;&gt;"",W24,0),"")</f>
        <v/>
      </c>
      <c r="Y24" s="14" t="n"/>
      <c r="Z24" s="11" t="n"/>
      <c r="AA24" s="11" t="n"/>
      <c r="AB24" s="11" t="n"/>
      <c r="AC24" s="10" t="n"/>
      <c r="AD24" s="11" t="n"/>
      <c r="AE24" s="11" t="n"/>
      <c r="AF24" s="11" t="n"/>
      <c r="AG24" s="14" t="n"/>
      <c r="AH24" s="11" t="n"/>
      <c r="AI24" s="14" t="n"/>
      <c r="AJ24" s="13" t="n"/>
      <c r="AK24" s="11" t="n"/>
      <c r="AL24" s="13">
        <f>IF(X24="","",IF(AN24="Received",0,X24-IF(AJ24&lt;&gt;"",AJ24,0)))</f>
        <v/>
      </c>
      <c r="AM24" s="13" t="n"/>
      <c r="AN24" s="11" t="n"/>
      <c r="AO24" s="11" t="n"/>
      <c r="AP24" s="13" t="n"/>
      <c r="AQ24" s="11">
        <f>IF(B24&lt;&gt;"","INV-"&amp;TEXT(ROW()-3,"0000"),"")</f>
        <v/>
      </c>
      <c r="AR24" s="11" t="n"/>
    </row>
    <row r="25">
      <c r="A25" s="7">
        <f>IF(B25&lt;&gt;"",ROW()-3,"")</f>
        <v/>
      </c>
      <c r="B25" s="8" t="n"/>
      <c r="C25" s="9">
        <f>IF(B25&lt;&gt;"","ST-"&amp;TEXT(ROW()-3,"0000"),"")</f>
        <v/>
      </c>
      <c r="D25" s="10" t="n"/>
      <c r="E25" s="11" t="n"/>
      <c r="F25" s="11" t="n"/>
      <c r="G25" s="11" t="n"/>
      <c r="H25" s="10" t="n"/>
      <c r="I25" s="11" t="n"/>
      <c r="J25" s="10" t="n"/>
      <c r="K25" s="10" t="n"/>
      <c r="L25" s="11" t="n"/>
      <c r="M25" s="12" t="n"/>
      <c r="N25" s="11" t="n"/>
      <c r="O25" s="13" t="n"/>
      <c r="P25" s="11" t="n"/>
      <c r="Q25" s="13" t="n"/>
      <c r="R25" s="11" t="n"/>
      <c r="S25" s="13" t="n"/>
      <c r="T25" s="11" t="n"/>
      <c r="U25" s="13" t="n"/>
      <c r="V25" s="13">
        <f>IF(COUNTA(N25)&gt;0,SUM(O25,Q25,S25,U25),"")</f>
        <v/>
      </c>
      <c r="W25" s="13" t="n"/>
      <c r="X25" s="13">
        <f>IF(V25&lt;&gt;"",V25-IF(W25&lt;&gt;"",W25,0),"")</f>
        <v/>
      </c>
      <c r="Y25" s="14" t="n"/>
      <c r="Z25" s="11" t="n"/>
      <c r="AA25" s="11" t="n"/>
      <c r="AB25" s="11" t="n"/>
      <c r="AC25" s="10" t="n"/>
      <c r="AD25" s="11" t="n"/>
      <c r="AE25" s="11" t="n"/>
      <c r="AF25" s="11" t="n"/>
      <c r="AG25" s="14" t="n"/>
      <c r="AH25" s="11" t="n"/>
      <c r="AI25" s="14" t="n"/>
      <c r="AJ25" s="13" t="n"/>
      <c r="AK25" s="11" t="n"/>
      <c r="AL25" s="13">
        <f>IF(X25="","",IF(AN25="Received",0,X25-IF(AJ25&lt;&gt;"",AJ25,0)))</f>
        <v/>
      </c>
      <c r="AM25" s="13" t="n"/>
      <c r="AN25" s="11" t="n"/>
      <c r="AO25" s="11" t="n"/>
      <c r="AP25" s="13" t="n"/>
      <c r="AQ25" s="11">
        <f>IF(B25&lt;&gt;"","INV-"&amp;TEXT(ROW()-3,"0000"),"")</f>
        <v/>
      </c>
      <c r="AR25" s="11" t="n"/>
    </row>
    <row r="26">
      <c r="A26" s="7">
        <f>IF(B26&lt;&gt;"",ROW()-3,"")</f>
        <v/>
      </c>
      <c r="B26" s="8" t="n"/>
      <c r="C26" s="9">
        <f>IF(B26&lt;&gt;"","ST-"&amp;TEXT(ROW()-3,"0000"),"")</f>
        <v/>
      </c>
      <c r="D26" s="10" t="n"/>
      <c r="E26" s="11" t="n"/>
      <c r="F26" s="11" t="n"/>
      <c r="G26" s="11" t="n"/>
      <c r="H26" s="10" t="n"/>
      <c r="I26" s="11" t="n"/>
      <c r="J26" s="10" t="n"/>
      <c r="K26" s="10" t="n"/>
      <c r="L26" s="11" t="n"/>
      <c r="M26" s="12" t="n"/>
      <c r="N26" s="11" t="n"/>
      <c r="O26" s="13" t="n"/>
      <c r="P26" s="11" t="n"/>
      <c r="Q26" s="13" t="n"/>
      <c r="R26" s="11" t="n"/>
      <c r="S26" s="13" t="n"/>
      <c r="T26" s="11" t="n"/>
      <c r="U26" s="13" t="n"/>
      <c r="V26" s="13">
        <f>IF(COUNTA(N26)&gt;0,SUM(O26,Q26,S26,U26),"")</f>
        <v/>
      </c>
      <c r="W26" s="13" t="n"/>
      <c r="X26" s="13">
        <f>IF(V26&lt;&gt;"",V26-IF(W26&lt;&gt;"",W26,0),"")</f>
        <v/>
      </c>
      <c r="Y26" s="14" t="n"/>
      <c r="Z26" s="11" t="n"/>
      <c r="AA26" s="11" t="n"/>
      <c r="AB26" s="11" t="n"/>
      <c r="AC26" s="10" t="n"/>
      <c r="AD26" s="11" t="n"/>
      <c r="AE26" s="11" t="n"/>
      <c r="AF26" s="11" t="n"/>
      <c r="AG26" s="14" t="n"/>
      <c r="AH26" s="11" t="n"/>
      <c r="AI26" s="14" t="n"/>
      <c r="AJ26" s="13" t="n"/>
      <c r="AK26" s="11" t="n"/>
      <c r="AL26" s="13">
        <f>IF(X26="","",IF(AN26="Received",0,X26-IF(AJ26&lt;&gt;"",AJ26,0)))</f>
        <v/>
      </c>
      <c r="AM26" s="13" t="n"/>
      <c r="AN26" s="11" t="n"/>
      <c r="AO26" s="11" t="n"/>
      <c r="AP26" s="13" t="n"/>
      <c r="AQ26" s="11">
        <f>IF(B26&lt;&gt;"","INV-"&amp;TEXT(ROW()-3,"0000"),"")</f>
        <v/>
      </c>
      <c r="AR26" s="11" t="n"/>
    </row>
    <row r="27">
      <c r="A27" s="7">
        <f>IF(B27&lt;&gt;"",ROW()-3,"")</f>
        <v/>
      </c>
      <c r="B27" s="8" t="n"/>
      <c r="C27" s="9">
        <f>IF(B27&lt;&gt;"","ST-"&amp;TEXT(ROW()-3,"0000"),"")</f>
        <v/>
      </c>
      <c r="D27" s="10" t="n"/>
      <c r="E27" s="11" t="n"/>
      <c r="F27" s="11" t="n"/>
      <c r="G27" s="11" t="n"/>
      <c r="H27" s="10" t="n"/>
      <c r="I27" s="11" t="n"/>
      <c r="J27" s="10" t="n"/>
      <c r="K27" s="10" t="n"/>
      <c r="L27" s="11" t="n"/>
      <c r="M27" s="12" t="n"/>
      <c r="N27" s="11" t="n"/>
      <c r="O27" s="13" t="n"/>
      <c r="P27" s="11" t="n"/>
      <c r="Q27" s="13" t="n"/>
      <c r="R27" s="11" t="n"/>
      <c r="S27" s="13" t="n"/>
      <c r="T27" s="11" t="n"/>
      <c r="U27" s="13" t="n"/>
      <c r="V27" s="13">
        <f>IF(COUNTA(N27)&gt;0,SUM(O27,Q27,S27,U27),"")</f>
        <v/>
      </c>
      <c r="W27" s="13" t="n"/>
      <c r="X27" s="13">
        <f>IF(V27&lt;&gt;"",V27-IF(W27&lt;&gt;"",W27,0),"")</f>
        <v/>
      </c>
      <c r="Y27" s="14" t="n"/>
      <c r="Z27" s="11" t="n"/>
      <c r="AA27" s="11" t="n"/>
      <c r="AB27" s="11" t="n"/>
      <c r="AC27" s="10" t="n"/>
      <c r="AD27" s="11" t="n"/>
      <c r="AE27" s="11" t="n"/>
      <c r="AF27" s="11" t="n"/>
      <c r="AG27" s="14" t="n"/>
      <c r="AH27" s="11" t="n"/>
      <c r="AI27" s="14" t="n"/>
      <c r="AJ27" s="13" t="n"/>
      <c r="AK27" s="11" t="n"/>
      <c r="AL27" s="13">
        <f>IF(X27="","",IF(AN27="Received",0,X27-IF(AJ27&lt;&gt;"",AJ27,0)))</f>
        <v/>
      </c>
      <c r="AM27" s="13" t="n"/>
      <c r="AN27" s="11" t="n"/>
      <c r="AO27" s="11" t="n"/>
      <c r="AP27" s="13" t="n"/>
      <c r="AQ27" s="11">
        <f>IF(B27&lt;&gt;"","INV-"&amp;TEXT(ROW()-3,"0000"),"")</f>
        <v/>
      </c>
      <c r="AR27" s="11" t="n"/>
    </row>
    <row r="28">
      <c r="A28" s="7">
        <f>IF(B28&lt;&gt;"",ROW()-3,"")</f>
        <v/>
      </c>
      <c r="B28" s="8" t="n"/>
      <c r="C28" s="9">
        <f>IF(B28&lt;&gt;"","ST-"&amp;TEXT(ROW()-3,"0000"),"")</f>
        <v/>
      </c>
      <c r="D28" s="10" t="n"/>
      <c r="E28" s="11" t="n"/>
      <c r="F28" s="11" t="n"/>
      <c r="G28" s="11" t="n"/>
      <c r="H28" s="10" t="n"/>
      <c r="I28" s="11" t="n"/>
      <c r="J28" s="10" t="n"/>
      <c r="K28" s="10" t="n"/>
      <c r="L28" s="11" t="n"/>
      <c r="M28" s="12" t="n"/>
      <c r="N28" s="11" t="n"/>
      <c r="O28" s="13" t="n"/>
      <c r="P28" s="11" t="n"/>
      <c r="Q28" s="13" t="n"/>
      <c r="R28" s="11" t="n"/>
      <c r="S28" s="13" t="n"/>
      <c r="T28" s="11" t="n"/>
      <c r="U28" s="13" t="n"/>
      <c r="V28" s="13">
        <f>IF(COUNTA(N28)&gt;0,SUM(O28,Q28,S28,U28),"")</f>
        <v/>
      </c>
      <c r="W28" s="13" t="n"/>
      <c r="X28" s="13">
        <f>IF(V28&lt;&gt;"",V28-IF(W28&lt;&gt;"",W28,0),"")</f>
        <v/>
      </c>
      <c r="Y28" s="14" t="n"/>
      <c r="Z28" s="11" t="n"/>
      <c r="AA28" s="11" t="n"/>
      <c r="AB28" s="11" t="n"/>
      <c r="AC28" s="10" t="n"/>
      <c r="AD28" s="11" t="n"/>
      <c r="AE28" s="11" t="n"/>
      <c r="AF28" s="11" t="n"/>
      <c r="AG28" s="14" t="n"/>
      <c r="AH28" s="11" t="n"/>
      <c r="AI28" s="14" t="n"/>
      <c r="AJ28" s="13" t="n"/>
      <c r="AK28" s="11" t="n"/>
      <c r="AL28" s="13">
        <f>IF(X28="","",IF(AN28="Received",0,X28-IF(AJ28&lt;&gt;"",AJ28,0)))</f>
        <v/>
      </c>
      <c r="AM28" s="13" t="n"/>
      <c r="AN28" s="11" t="n"/>
      <c r="AO28" s="11" t="n"/>
      <c r="AP28" s="13" t="n"/>
      <c r="AQ28" s="11">
        <f>IF(B28&lt;&gt;"","INV-"&amp;TEXT(ROW()-3,"0000"),"")</f>
        <v/>
      </c>
      <c r="AR28" s="11" t="n"/>
    </row>
    <row r="29">
      <c r="A29" s="7">
        <f>IF(B29&lt;&gt;"",ROW()-3,"")</f>
        <v/>
      </c>
      <c r="B29" s="8" t="n"/>
      <c r="C29" s="9">
        <f>IF(B29&lt;&gt;"","ST-"&amp;TEXT(ROW()-3,"0000"),"")</f>
        <v/>
      </c>
      <c r="D29" s="10" t="n"/>
      <c r="E29" s="11" t="n"/>
      <c r="F29" s="11" t="n"/>
      <c r="G29" s="11" t="n"/>
      <c r="H29" s="10" t="n"/>
      <c r="I29" s="11" t="n"/>
      <c r="J29" s="10" t="n"/>
      <c r="K29" s="10" t="n"/>
      <c r="L29" s="11" t="n"/>
      <c r="M29" s="12" t="n"/>
      <c r="N29" s="11" t="n"/>
      <c r="O29" s="13" t="n"/>
      <c r="P29" s="11" t="n"/>
      <c r="Q29" s="13" t="n"/>
      <c r="R29" s="11" t="n"/>
      <c r="S29" s="13" t="n"/>
      <c r="T29" s="11" t="n"/>
      <c r="U29" s="13" t="n"/>
      <c r="V29" s="13">
        <f>IF(COUNTA(N29)&gt;0,SUM(O29,Q29,S29,U29),"")</f>
        <v/>
      </c>
      <c r="W29" s="13" t="n"/>
      <c r="X29" s="13">
        <f>IF(V29&lt;&gt;"",V29-IF(W29&lt;&gt;"",W29,0),"")</f>
        <v/>
      </c>
      <c r="Y29" s="14" t="n"/>
      <c r="Z29" s="11" t="n"/>
      <c r="AA29" s="11" t="n"/>
      <c r="AB29" s="11" t="n"/>
      <c r="AC29" s="10" t="n"/>
      <c r="AD29" s="11" t="n"/>
      <c r="AE29" s="11" t="n"/>
      <c r="AF29" s="11" t="n"/>
      <c r="AG29" s="14" t="n"/>
      <c r="AH29" s="11" t="n"/>
      <c r="AI29" s="14" t="n"/>
      <c r="AJ29" s="13" t="n"/>
      <c r="AK29" s="11" t="n"/>
      <c r="AL29" s="13">
        <f>IF(X29="","",IF(AN29="Received",0,X29-IF(AJ29&lt;&gt;"",AJ29,0)))</f>
        <v/>
      </c>
      <c r="AM29" s="13" t="n"/>
      <c r="AN29" s="11" t="n"/>
      <c r="AO29" s="11" t="n"/>
      <c r="AP29" s="13" t="n"/>
      <c r="AQ29" s="11">
        <f>IF(B29&lt;&gt;"","INV-"&amp;TEXT(ROW()-3,"0000"),"")</f>
        <v/>
      </c>
      <c r="AR29" s="11" t="n"/>
    </row>
    <row r="30">
      <c r="A30" s="7">
        <f>IF(B30&lt;&gt;"",ROW()-3,"")</f>
        <v/>
      </c>
      <c r="B30" s="8" t="n"/>
      <c r="C30" s="9">
        <f>IF(B30&lt;&gt;"","ST-"&amp;TEXT(ROW()-3,"0000"),"")</f>
        <v/>
      </c>
      <c r="D30" s="10" t="n"/>
      <c r="E30" s="11" t="n"/>
      <c r="F30" s="11" t="n"/>
      <c r="G30" s="11" t="n"/>
      <c r="H30" s="10" t="n"/>
      <c r="I30" s="11" t="n"/>
      <c r="J30" s="10" t="n"/>
      <c r="K30" s="10" t="n"/>
      <c r="L30" s="11" t="n"/>
      <c r="M30" s="12" t="n"/>
      <c r="N30" s="11" t="n"/>
      <c r="O30" s="13" t="n"/>
      <c r="P30" s="11" t="n"/>
      <c r="Q30" s="13" t="n"/>
      <c r="R30" s="11" t="n"/>
      <c r="S30" s="13" t="n"/>
      <c r="T30" s="11" t="n"/>
      <c r="U30" s="13" t="n"/>
      <c r="V30" s="13">
        <f>IF(COUNTA(N30)&gt;0,SUM(O30,Q30,S30,U30),"")</f>
        <v/>
      </c>
      <c r="W30" s="13" t="n"/>
      <c r="X30" s="13">
        <f>IF(V30&lt;&gt;"",V30-IF(W30&lt;&gt;"",W30,0),"")</f>
        <v/>
      </c>
      <c r="Y30" s="14" t="n"/>
      <c r="Z30" s="11" t="n"/>
      <c r="AA30" s="11" t="n"/>
      <c r="AB30" s="11" t="n"/>
      <c r="AC30" s="10" t="n"/>
      <c r="AD30" s="11" t="n"/>
      <c r="AE30" s="11" t="n"/>
      <c r="AF30" s="11" t="n"/>
      <c r="AG30" s="14" t="n"/>
      <c r="AH30" s="11" t="n"/>
      <c r="AI30" s="14" t="n"/>
      <c r="AJ30" s="13" t="n"/>
      <c r="AK30" s="11" t="n"/>
      <c r="AL30" s="13">
        <f>IF(X30="","",IF(AN30="Received",0,X30-IF(AJ30&lt;&gt;"",AJ30,0)))</f>
        <v/>
      </c>
      <c r="AM30" s="13" t="n"/>
      <c r="AN30" s="11" t="n"/>
      <c r="AO30" s="11" t="n"/>
      <c r="AP30" s="13" t="n"/>
      <c r="AQ30" s="11">
        <f>IF(B30&lt;&gt;"","INV-"&amp;TEXT(ROW()-3,"0000"),"")</f>
        <v/>
      </c>
      <c r="AR30" s="11" t="n"/>
    </row>
    <row r="31">
      <c r="A31" s="7">
        <f>IF(B31&lt;&gt;"",ROW()-3,"")</f>
        <v/>
      </c>
      <c r="B31" s="8" t="n"/>
      <c r="C31" s="9">
        <f>IF(B31&lt;&gt;"","ST-"&amp;TEXT(ROW()-3,"0000"),"")</f>
        <v/>
      </c>
      <c r="D31" s="10" t="n"/>
      <c r="E31" s="11" t="n"/>
      <c r="F31" s="11" t="n"/>
      <c r="G31" s="11" t="n"/>
      <c r="H31" s="10" t="n"/>
      <c r="I31" s="11" t="n"/>
      <c r="J31" s="10" t="n"/>
      <c r="K31" s="10" t="n"/>
      <c r="L31" s="11" t="n"/>
      <c r="M31" s="12" t="n"/>
      <c r="N31" s="11" t="n"/>
      <c r="O31" s="13" t="n"/>
      <c r="P31" s="11" t="n"/>
      <c r="Q31" s="13" t="n"/>
      <c r="R31" s="11" t="n"/>
      <c r="S31" s="13" t="n"/>
      <c r="T31" s="11" t="n"/>
      <c r="U31" s="13" t="n"/>
      <c r="V31" s="13">
        <f>IF(COUNTA(N31)&gt;0,SUM(O31,Q31,S31,U31),"")</f>
        <v/>
      </c>
      <c r="W31" s="13" t="n"/>
      <c r="X31" s="13">
        <f>IF(V31&lt;&gt;"",V31-IF(W31&lt;&gt;"",W31,0),"")</f>
        <v/>
      </c>
      <c r="Y31" s="14" t="n"/>
      <c r="Z31" s="11" t="n"/>
      <c r="AA31" s="11" t="n"/>
      <c r="AB31" s="11" t="n"/>
      <c r="AC31" s="10" t="n"/>
      <c r="AD31" s="11" t="n"/>
      <c r="AE31" s="11" t="n"/>
      <c r="AF31" s="11" t="n"/>
      <c r="AG31" s="14" t="n"/>
      <c r="AH31" s="11" t="n"/>
      <c r="AI31" s="14" t="n"/>
      <c r="AJ31" s="13" t="n"/>
      <c r="AK31" s="11" t="n"/>
      <c r="AL31" s="13">
        <f>IF(X31="","",IF(AN31="Received",0,X31-IF(AJ31&lt;&gt;"",AJ31,0)))</f>
        <v/>
      </c>
      <c r="AM31" s="13" t="n"/>
      <c r="AN31" s="11" t="n"/>
      <c r="AO31" s="11" t="n"/>
      <c r="AP31" s="13" t="n"/>
      <c r="AQ31" s="11">
        <f>IF(B31&lt;&gt;"","INV-"&amp;TEXT(ROW()-3,"0000"),"")</f>
        <v/>
      </c>
      <c r="AR31" s="11" t="n"/>
    </row>
    <row r="32">
      <c r="A32" s="7">
        <f>IF(B32&lt;&gt;"",ROW()-3,"")</f>
        <v/>
      </c>
      <c r="B32" s="8" t="n"/>
      <c r="C32" s="9">
        <f>IF(B32&lt;&gt;"","ST-"&amp;TEXT(ROW()-3,"0000"),"")</f>
        <v/>
      </c>
      <c r="D32" s="10" t="n"/>
      <c r="E32" s="11" t="n"/>
      <c r="F32" s="11" t="n"/>
      <c r="G32" s="11" t="n"/>
      <c r="H32" s="10" t="n"/>
      <c r="I32" s="11" t="n"/>
      <c r="J32" s="10" t="n"/>
      <c r="K32" s="10" t="n"/>
      <c r="L32" s="11" t="n"/>
      <c r="M32" s="12" t="n"/>
      <c r="N32" s="11" t="n"/>
      <c r="O32" s="13" t="n"/>
      <c r="P32" s="11" t="n"/>
      <c r="Q32" s="13" t="n"/>
      <c r="R32" s="11" t="n"/>
      <c r="S32" s="13" t="n"/>
      <c r="T32" s="11" t="n"/>
      <c r="U32" s="13" t="n"/>
      <c r="V32" s="13">
        <f>IF(COUNTA(N32)&gt;0,SUM(O32,Q32,S32,U32),"")</f>
        <v/>
      </c>
      <c r="W32" s="13" t="n"/>
      <c r="X32" s="13">
        <f>IF(V32&lt;&gt;"",V32-IF(W32&lt;&gt;"",W32,0),"")</f>
        <v/>
      </c>
      <c r="Y32" s="14" t="n"/>
      <c r="Z32" s="11" t="n"/>
      <c r="AA32" s="11" t="n"/>
      <c r="AB32" s="11" t="n"/>
      <c r="AC32" s="10" t="n"/>
      <c r="AD32" s="11" t="n"/>
      <c r="AE32" s="11" t="n"/>
      <c r="AF32" s="11" t="n"/>
      <c r="AG32" s="14" t="n"/>
      <c r="AH32" s="11" t="n"/>
      <c r="AI32" s="14" t="n"/>
      <c r="AJ32" s="13" t="n"/>
      <c r="AK32" s="11" t="n"/>
      <c r="AL32" s="13">
        <f>IF(X32="","",IF(AN32="Received",0,X32-IF(AJ32&lt;&gt;"",AJ32,0)))</f>
        <v/>
      </c>
      <c r="AM32" s="13" t="n"/>
      <c r="AN32" s="11" t="n"/>
      <c r="AO32" s="11" t="n"/>
      <c r="AP32" s="13" t="n"/>
      <c r="AQ32" s="11">
        <f>IF(B32&lt;&gt;"","INV-"&amp;TEXT(ROW()-3,"0000"),"")</f>
        <v/>
      </c>
      <c r="AR32" s="11" t="n"/>
    </row>
    <row r="33">
      <c r="A33" s="7">
        <f>IF(B33&lt;&gt;"",ROW()-3,"")</f>
        <v/>
      </c>
      <c r="B33" s="8" t="n"/>
      <c r="C33" s="9">
        <f>IF(B33&lt;&gt;"","ST-"&amp;TEXT(ROW()-3,"0000"),"")</f>
        <v/>
      </c>
      <c r="D33" s="10" t="n"/>
      <c r="E33" s="11" t="n"/>
      <c r="F33" s="11" t="n"/>
      <c r="G33" s="11" t="n"/>
      <c r="H33" s="10" t="n"/>
      <c r="I33" s="11" t="n"/>
      <c r="J33" s="10" t="n"/>
      <c r="K33" s="10" t="n"/>
      <c r="L33" s="11" t="n"/>
      <c r="M33" s="12" t="n"/>
      <c r="N33" s="11" t="n"/>
      <c r="O33" s="13" t="n"/>
      <c r="P33" s="11" t="n"/>
      <c r="Q33" s="13" t="n"/>
      <c r="R33" s="11" t="n"/>
      <c r="S33" s="13" t="n"/>
      <c r="T33" s="11" t="n"/>
      <c r="U33" s="13" t="n"/>
      <c r="V33" s="13">
        <f>IF(COUNTA(N33)&gt;0,SUM(O33,Q33,S33,U33),"")</f>
        <v/>
      </c>
      <c r="W33" s="13" t="n"/>
      <c r="X33" s="13">
        <f>IF(V33&lt;&gt;"",V33-IF(W33&lt;&gt;"",W33,0),"")</f>
        <v/>
      </c>
      <c r="Y33" s="14" t="n"/>
      <c r="Z33" s="11" t="n"/>
      <c r="AA33" s="11" t="n"/>
      <c r="AB33" s="11" t="n"/>
      <c r="AC33" s="10" t="n"/>
      <c r="AD33" s="11" t="n"/>
      <c r="AE33" s="11" t="n"/>
      <c r="AF33" s="11" t="n"/>
      <c r="AG33" s="14" t="n"/>
      <c r="AH33" s="11" t="n"/>
      <c r="AI33" s="14" t="n"/>
      <c r="AJ33" s="13" t="n"/>
      <c r="AK33" s="11" t="n"/>
      <c r="AL33" s="13">
        <f>IF(X33="","",IF(AN33="Received",0,X33-IF(AJ33&lt;&gt;"",AJ33,0)))</f>
        <v/>
      </c>
      <c r="AM33" s="13" t="n"/>
      <c r="AN33" s="11" t="n"/>
      <c r="AO33" s="11" t="n"/>
      <c r="AP33" s="13" t="n"/>
      <c r="AQ33" s="11">
        <f>IF(B33&lt;&gt;"","INV-"&amp;TEXT(ROW()-3,"0000"),"")</f>
        <v/>
      </c>
      <c r="AR33" s="11" t="n"/>
    </row>
    <row r="34">
      <c r="A34" s="7">
        <f>IF(B34&lt;&gt;"",ROW()-3,"")</f>
        <v/>
      </c>
      <c r="B34" s="8" t="n"/>
      <c r="C34" s="9">
        <f>IF(B34&lt;&gt;"","ST-"&amp;TEXT(ROW()-3,"0000"),"")</f>
        <v/>
      </c>
      <c r="D34" s="10" t="n"/>
      <c r="E34" s="11" t="n"/>
      <c r="F34" s="11" t="n"/>
      <c r="G34" s="11" t="n"/>
      <c r="H34" s="10" t="n"/>
      <c r="I34" s="11" t="n"/>
      <c r="J34" s="10" t="n"/>
      <c r="K34" s="10" t="n"/>
      <c r="L34" s="11" t="n"/>
      <c r="M34" s="12" t="n"/>
      <c r="N34" s="11" t="n"/>
      <c r="O34" s="13" t="n"/>
      <c r="P34" s="11" t="n"/>
      <c r="Q34" s="13" t="n"/>
      <c r="R34" s="11" t="n"/>
      <c r="S34" s="13" t="n"/>
      <c r="T34" s="11" t="n"/>
      <c r="U34" s="13" t="n"/>
      <c r="V34" s="13">
        <f>IF(COUNTA(N34)&gt;0,SUM(O34,Q34,S34,U34),"")</f>
        <v/>
      </c>
      <c r="W34" s="13" t="n"/>
      <c r="X34" s="13">
        <f>IF(V34&lt;&gt;"",V34-IF(W34&lt;&gt;"",W34,0),"")</f>
        <v/>
      </c>
      <c r="Y34" s="14" t="n"/>
      <c r="Z34" s="11" t="n"/>
      <c r="AA34" s="11" t="n"/>
      <c r="AB34" s="11" t="n"/>
      <c r="AC34" s="10" t="n"/>
      <c r="AD34" s="11" t="n"/>
      <c r="AE34" s="11" t="n"/>
      <c r="AF34" s="11" t="n"/>
      <c r="AG34" s="14" t="n"/>
      <c r="AH34" s="11" t="n"/>
      <c r="AI34" s="14" t="n"/>
      <c r="AJ34" s="13" t="n"/>
      <c r="AK34" s="11" t="n"/>
      <c r="AL34" s="13">
        <f>IF(X34="","",IF(AN34="Received",0,X34-IF(AJ34&lt;&gt;"",AJ34,0)))</f>
        <v/>
      </c>
      <c r="AM34" s="13" t="n"/>
      <c r="AN34" s="11" t="n"/>
      <c r="AO34" s="11" t="n"/>
      <c r="AP34" s="13" t="n"/>
      <c r="AQ34" s="11">
        <f>IF(B34&lt;&gt;"","INV-"&amp;TEXT(ROW()-3,"0000"),"")</f>
        <v/>
      </c>
      <c r="AR34" s="11" t="n"/>
    </row>
    <row r="35">
      <c r="A35" s="7">
        <f>IF(B35&lt;&gt;"",ROW()-3,"")</f>
        <v/>
      </c>
      <c r="B35" s="8" t="n"/>
      <c r="C35" s="9">
        <f>IF(B35&lt;&gt;"","ST-"&amp;TEXT(ROW()-3,"0000"),"")</f>
        <v/>
      </c>
      <c r="D35" s="10" t="n"/>
      <c r="E35" s="11" t="n"/>
      <c r="F35" s="11" t="n"/>
      <c r="G35" s="11" t="n"/>
      <c r="H35" s="10" t="n"/>
      <c r="I35" s="11" t="n"/>
      <c r="J35" s="10" t="n"/>
      <c r="K35" s="10" t="n"/>
      <c r="L35" s="11" t="n"/>
      <c r="M35" s="12" t="n"/>
      <c r="N35" s="11" t="n"/>
      <c r="O35" s="13" t="n"/>
      <c r="P35" s="11" t="n"/>
      <c r="Q35" s="13" t="n"/>
      <c r="R35" s="11" t="n"/>
      <c r="S35" s="13" t="n"/>
      <c r="T35" s="11" t="n"/>
      <c r="U35" s="13" t="n"/>
      <c r="V35" s="13">
        <f>IF(COUNTA(N35)&gt;0,SUM(O35,Q35,S35,U35),"")</f>
        <v/>
      </c>
      <c r="W35" s="13" t="n"/>
      <c r="X35" s="13">
        <f>IF(V35&lt;&gt;"",V35-IF(W35&lt;&gt;"",W35,0),"")</f>
        <v/>
      </c>
      <c r="Y35" s="14" t="n"/>
      <c r="Z35" s="11" t="n"/>
      <c r="AA35" s="11" t="n"/>
      <c r="AB35" s="11" t="n"/>
      <c r="AC35" s="10" t="n"/>
      <c r="AD35" s="11" t="n"/>
      <c r="AE35" s="11" t="n"/>
      <c r="AF35" s="11" t="n"/>
      <c r="AG35" s="14" t="n"/>
      <c r="AH35" s="11" t="n"/>
      <c r="AI35" s="14" t="n"/>
      <c r="AJ35" s="13" t="n"/>
      <c r="AK35" s="11" t="n"/>
      <c r="AL35" s="13">
        <f>IF(X35="","",IF(AN35="Received",0,X35-IF(AJ35&lt;&gt;"",AJ35,0)))</f>
        <v/>
      </c>
      <c r="AM35" s="13" t="n"/>
      <c r="AN35" s="11" t="n"/>
      <c r="AO35" s="11" t="n"/>
      <c r="AP35" s="13" t="n"/>
      <c r="AQ35" s="11">
        <f>IF(B35&lt;&gt;"","INV-"&amp;TEXT(ROW()-3,"0000"),"")</f>
        <v/>
      </c>
      <c r="AR35" s="11" t="n"/>
    </row>
    <row r="36">
      <c r="A36" s="7">
        <f>IF(B36&lt;&gt;"",ROW()-3,"")</f>
        <v/>
      </c>
      <c r="B36" s="8" t="n"/>
      <c r="C36" s="9">
        <f>IF(B36&lt;&gt;"","ST-"&amp;TEXT(ROW()-3,"0000"),"")</f>
        <v/>
      </c>
      <c r="D36" s="10" t="n"/>
      <c r="E36" s="11" t="n"/>
      <c r="F36" s="11" t="n"/>
      <c r="G36" s="11" t="n"/>
      <c r="H36" s="10" t="n"/>
      <c r="I36" s="11" t="n"/>
      <c r="J36" s="10" t="n"/>
      <c r="K36" s="10" t="n"/>
      <c r="L36" s="11" t="n"/>
      <c r="M36" s="12" t="n"/>
      <c r="N36" s="11" t="n"/>
      <c r="O36" s="13" t="n"/>
      <c r="P36" s="11" t="n"/>
      <c r="Q36" s="13" t="n"/>
      <c r="R36" s="11" t="n"/>
      <c r="S36" s="13" t="n"/>
      <c r="T36" s="11" t="n"/>
      <c r="U36" s="13" t="n"/>
      <c r="V36" s="13">
        <f>IF(COUNTA(N36)&gt;0,SUM(O36,Q36,S36,U36),"")</f>
        <v/>
      </c>
      <c r="W36" s="13" t="n"/>
      <c r="X36" s="13">
        <f>IF(V36&lt;&gt;"",V36-IF(W36&lt;&gt;"",W36,0),"")</f>
        <v/>
      </c>
      <c r="Y36" s="14" t="n"/>
      <c r="Z36" s="11" t="n"/>
      <c r="AA36" s="11" t="n"/>
      <c r="AB36" s="11" t="n"/>
      <c r="AC36" s="10" t="n"/>
      <c r="AD36" s="11" t="n"/>
      <c r="AE36" s="11" t="n"/>
      <c r="AF36" s="11" t="n"/>
      <c r="AG36" s="14" t="n"/>
      <c r="AH36" s="11" t="n"/>
      <c r="AI36" s="14" t="n"/>
      <c r="AJ36" s="13" t="n"/>
      <c r="AK36" s="11" t="n"/>
      <c r="AL36" s="13">
        <f>IF(X36="","",IF(AN36="Received",0,X36-IF(AJ36&lt;&gt;"",AJ36,0)))</f>
        <v/>
      </c>
      <c r="AM36" s="13" t="n"/>
      <c r="AN36" s="11" t="n"/>
      <c r="AO36" s="11" t="n"/>
      <c r="AP36" s="13" t="n"/>
      <c r="AQ36" s="11">
        <f>IF(B36&lt;&gt;"","INV-"&amp;TEXT(ROW()-3,"0000"),"")</f>
        <v/>
      </c>
      <c r="AR36" s="11" t="n"/>
    </row>
    <row r="37">
      <c r="A37" s="7">
        <f>IF(B37&lt;&gt;"",ROW()-3,"")</f>
        <v/>
      </c>
      <c r="B37" s="8" t="n"/>
      <c r="C37" s="9">
        <f>IF(B37&lt;&gt;"","ST-"&amp;TEXT(ROW()-3,"0000"),"")</f>
        <v/>
      </c>
      <c r="D37" s="10" t="n"/>
      <c r="E37" s="11" t="n"/>
      <c r="F37" s="11" t="n"/>
      <c r="G37" s="11" t="n"/>
      <c r="H37" s="10" t="n"/>
      <c r="I37" s="11" t="n"/>
      <c r="J37" s="10" t="n"/>
      <c r="K37" s="10" t="n"/>
      <c r="L37" s="11" t="n"/>
      <c r="M37" s="12" t="n"/>
      <c r="N37" s="11" t="n"/>
      <c r="O37" s="13" t="n"/>
      <c r="P37" s="11" t="n"/>
      <c r="Q37" s="13" t="n"/>
      <c r="R37" s="11" t="n"/>
      <c r="S37" s="13" t="n"/>
      <c r="T37" s="11" t="n"/>
      <c r="U37" s="13" t="n"/>
      <c r="V37" s="13">
        <f>IF(COUNTA(N37)&gt;0,SUM(O37,Q37,S37,U37),"")</f>
        <v/>
      </c>
      <c r="W37" s="13" t="n"/>
      <c r="X37" s="13">
        <f>IF(V37&lt;&gt;"",V37-IF(W37&lt;&gt;"",W37,0),"")</f>
        <v/>
      </c>
      <c r="Y37" s="14" t="n"/>
      <c r="Z37" s="11" t="n"/>
      <c r="AA37" s="11" t="n"/>
      <c r="AB37" s="11" t="n"/>
      <c r="AC37" s="10" t="n"/>
      <c r="AD37" s="11" t="n"/>
      <c r="AE37" s="11" t="n"/>
      <c r="AF37" s="11" t="n"/>
      <c r="AG37" s="14" t="n"/>
      <c r="AH37" s="11" t="n"/>
      <c r="AI37" s="14" t="n"/>
      <c r="AJ37" s="13" t="n"/>
      <c r="AK37" s="11" t="n"/>
      <c r="AL37" s="13">
        <f>IF(X37="","",IF(AN37="Received",0,X37-IF(AJ37&lt;&gt;"",AJ37,0)))</f>
        <v/>
      </c>
      <c r="AM37" s="13" t="n"/>
      <c r="AN37" s="11" t="n"/>
      <c r="AO37" s="11" t="n"/>
      <c r="AP37" s="13" t="n"/>
      <c r="AQ37" s="11">
        <f>IF(B37&lt;&gt;"","INV-"&amp;TEXT(ROW()-3,"0000"),"")</f>
        <v/>
      </c>
      <c r="AR37" s="11" t="n"/>
    </row>
    <row r="38">
      <c r="A38" s="7">
        <f>IF(B38&lt;&gt;"",ROW()-3,"")</f>
        <v/>
      </c>
      <c r="B38" s="8" t="n"/>
      <c r="C38" s="9">
        <f>IF(B38&lt;&gt;"","ST-"&amp;TEXT(ROW()-3,"0000"),"")</f>
        <v/>
      </c>
      <c r="D38" s="10" t="n"/>
      <c r="E38" s="11" t="n"/>
      <c r="F38" s="11" t="n"/>
      <c r="G38" s="11" t="n"/>
      <c r="H38" s="10" t="n"/>
      <c r="I38" s="11" t="n"/>
      <c r="J38" s="10" t="n"/>
      <c r="K38" s="10" t="n"/>
      <c r="L38" s="11" t="n"/>
      <c r="M38" s="12" t="n"/>
      <c r="N38" s="11" t="n"/>
      <c r="O38" s="13" t="n"/>
      <c r="P38" s="11" t="n"/>
      <c r="Q38" s="13" t="n"/>
      <c r="R38" s="11" t="n"/>
      <c r="S38" s="13" t="n"/>
      <c r="T38" s="11" t="n"/>
      <c r="U38" s="13" t="n"/>
      <c r="V38" s="13">
        <f>IF(COUNTA(N38)&gt;0,SUM(O38,Q38,S38,U38),"")</f>
        <v/>
      </c>
      <c r="W38" s="13" t="n"/>
      <c r="X38" s="13">
        <f>IF(V38&lt;&gt;"",V38-IF(W38&lt;&gt;"",W38,0),"")</f>
        <v/>
      </c>
      <c r="Y38" s="14" t="n"/>
      <c r="Z38" s="11" t="n"/>
      <c r="AA38" s="11" t="n"/>
      <c r="AB38" s="11" t="n"/>
      <c r="AC38" s="10" t="n"/>
      <c r="AD38" s="11" t="n"/>
      <c r="AE38" s="11" t="n"/>
      <c r="AF38" s="11" t="n"/>
      <c r="AG38" s="14" t="n"/>
      <c r="AH38" s="11" t="n"/>
      <c r="AI38" s="14" t="n"/>
      <c r="AJ38" s="13" t="n"/>
      <c r="AK38" s="11" t="n"/>
      <c r="AL38" s="13">
        <f>IF(X38="","",IF(AN38="Received",0,X38-IF(AJ38&lt;&gt;"",AJ38,0)))</f>
        <v/>
      </c>
      <c r="AM38" s="13" t="n"/>
      <c r="AN38" s="11" t="n"/>
      <c r="AO38" s="11" t="n"/>
      <c r="AP38" s="13" t="n"/>
      <c r="AQ38" s="11">
        <f>IF(B38&lt;&gt;"","INV-"&amp;TEXT(ROW()-3,"0000"),"")</f>
        <v/>
      </c>
      <c r="AR38" s="11" t="n"/>
    </row>
    <row r="39">
      <c r="A39" s="7">
        <f>IF(B39&lt;&gt;"",ROW()-3,"")</f>
        <v/>
      </c>
      <c r="B39" s="8" t="n"/>
      <c r="C39" s="9">
        <f>IF(B39&lt;&gt;"","ST-"&amp;TEXT(ROW()-3,"0000"),"")</f>
        <v/>
      </c>
      <c r="D39" s="10" t="n"/>
      <c r="E39" s="11" t="n"/>
      <c r="F39" s="11" t="n"/>
      <c r="G39" s="11" t="n"/>
      <c r="H39" s="10" t="n"/>
      <c r="I39" s="11" t="n"/>
      <c r="J39" s="10" t="n"/>
      <c r="K39" s="10" t="n"/>
      <c r="L39" s="11" t="n"/>
      <c r="M39" s="12" t="n"/>
      <c r="N39" s="11" t="n"/>
      <c r="O39" s="13" t="n"/>
      <c r="P39" s="11" t="n"/>
      <c r="Q39" s="13" t="n"/>
      <c r="R39" s="11" t="n"/>
      <c r="S39" s="13" t="n"/>
      <c r="T39" s="11" t="n"/>
      <c r="U39" s="13" t="n"/>
      <c r="V39" s="13">
        <f>IF(COUNTA(N39)&gt;0,SUM(O39,Q39,S39,U39),"")</f>
        <v/>
      </c>
      <c r="W39" s="13" t="n"/>
      <c r="X39" s="13">
        <f>IF(V39&lt;&gt;"",V39-IF(W39&lt;&gt;"",W39,0),"")</f>
        <v/>
      </c>
      <c r="Y39" s="14" t="n"/>
      <c r="Z39" s="11" t="n"/>
      <c r="AA39" s="11" t="n"/>
      <c r="AB39" s="11" t="n"/>
      <c r="AC39" s="10" t="n"/>
      <c r="AD39" s="11" t="n"/>
      <c r="AE39" s="11" t="n"/>
      <c r="AF39" s="11" t="n"/>
      <c r="AG39" s="14" t="n"/>
      <c r="AH39" s="11" t="n"/>
      <c r="AI39" s="14" t="n"/>
      <c r="AJ39" s="13" t="n"/>
      <c r="AK39" s="11" t="n"/>
      <c r="AL39" s="13">
        <f>IF(X39="","",IF(AN39="Received",0,X39-IF(AJ39&lt;&gt;"",AJ39,0)))</f>
        <v/>
      </c>
      <c r="AM39" s="13" t="n"/>
      <c r="AN39" s="11" t="n"/>
      <c r="AO39" s="11" t="n"/>
      <c r="AP39" s="13" t="n"/>
      <c r="AQ39" s="11">
        <f>IF(B39&lt;&gt;"","INV-"&amp;TEXT(ROW()-3,"0000"),"")</f>
        <v/>
      </c>
      <c r="AR39" s="11" t="n"/>
    </row>
    <row r="40">
      <c r="A40" s="7">
        <f>IF(B40&lt;&gt;"",ROW()-3,"")</f>
        <v/>
      </c>
      <c r="B40" s="8" t="n"/>
      <c r="C40" s="9">
        <f>IF(B40&lt;&gt;"","ST-"&amp;TEXT(ROW()-3,"0000"),"")</f>
        <v/>
      </c>
      <c r="D40" s="10" t="n"/>
      <c r="E40" s="11" t="n"/>
      <c r="F40" s="11" t="n"/>
      <c r="G40" s="11" t="n"/>
      <c r="H40" s="10" t="n"/>
      <c r="I40" s="11" t="n"/>
      <c r="J40" s="10" t="n"/>
      <c r="K40" s="10" t="n"/>
      <c r="L40" s="11" t="n"/>
      <c r="M40" s="12" t="n"/>
      <c r="N40" s="11" t="n"/>
      <c r="O40" s="13" t="n"/>
      <c r="P40" s="11" t="n"/>
      <c r="Q40" s="13" t="n"/>
      <c r="R40" s="11" t="n"/>
      <c r="S40" s="13" t="n"/>
      <c r="T40" s="11" t="n"/>
      <c r="U40" s="13" t="n"/>
      <c r="V40" s="13">
        <f>IF(COUNTA(N40)&gt;0,SUM(O40,Q40,S40,U40),"")</f>
        <v/>
      </c>
      <c r="W40" s="13" t="n"/>
      <c r="X40" s="13">
        <f>IF(V40&lt;&gt;"",V40-IF(W40&lt;&gt;"",W40,0),"")</f>
        <v/>
      </c>
      <c r="Y40" s="14" t="n"/>
      <c r="Z40" s="11" t="n"/>
      <c r="AA40" s="11" t="n"/>
      <c r="AB40" s="11" t="n"/>
      <c r="AC40" s="10" t="n"/>
      <c r="AD40" s="11" t="n"/>
      <c r="AE40" s="11" t="n"/>
      <c r="AF40" s="11" t="n"/>
      <c r="AG40" s="14" t="n"/>
      <c r="AH40" s="11" t="n"/>
      <c r="AI40" s="14" t="n"/>
      <c r="AJ40" s="13" t="n"/>
      <c r="AK40" s="11" t="n"/>
      <c r="AL40" s="13">
        <f>IF(X40="","",IF(AN40="Received",0,X40-IF(AJ40&lt;&gt;"",AJ40,0)))</f>
        <v/>
      </c>
      <c r="AM40" s="13" t="n"/>
      <c r="AN40" s="11" t="n"/>
      <c r="AO40" s="11" t="n"/>
      <c r="AP40" s="13" t="n"/>
      <c r="AQ40" s="11">
        <f>IF(B40&lt;&gt;"","INV-"&amp;TEXT(ROW()-3,"0000"),"")</f>
        <v/>
      </c>
      <c r="AR40" s="11" t="n"/>
    </row>
    <row r="41">
      <c r="A41" s="7">
        <f>IF(B41&lt;&gt;"",ROW()-3,"")</f>
        <v/>
      </c>
      <c r="B41" s="8" t="n"/>
      <c r="C41" s="9">
        <f>IF(B41&lt;&gt;"","ST-"&amp;TEXT(ROW()-3,"0000"),"")</f>
        <v/>
      </c>
      <c r="D41" s="10" t="n"/>
      <c r="E41" s="11" t="n"/>
      <c r="F41" s="11" t="n"/>
      <c r="G41" s="11" t="n"/>
      <c r="H41" s="10" t="n"/>
      <c r="I41" s="11" t="n"/>
      <c r="J41" s="10" t="n"/>
      <c r="K41" s="10" t="n"/>
      <c r="L41" s="11" t="n"/>
      <c r="M41" s="12" t="n"/>
      <c r="N41" s="11" t="n"/>
      <c r="O41" s="13" t="n"/>
      <c r="P41" s="11" t="n"/>
      <c r="Q41" s="13" t="n"/>
      <c r="R41" s="11" t="n"/>
      <c r="S41" s="13" t="n"/>
      <c r="T41" s="11" t="n"/>
      <c r="U41" s="13" t="n"/>
      <c r="V41" s="13">
        <f>IF(COUNTA(N41)&gt;0,SUM(O41,Q41,S41,U41),"")</f>
        <v/>
      </c>
      <c r="W41" s="13" t="n"/>
      <c r="X41" s="13">
        <f>IF(V41&lt;&gt;"",V41-IF(W41&lt;&gt;"",W41,0),"")</f>
        <v/>
      </c>
      <c r="Y41" s="14" t="n"/>
      <c r="Z41" s="11" t="n"/>
      <c r="AA41" s="11" t="n"/>
      <c r="AB41" s="11" t="n"/>
      <c r="AC41" s="10" t="n"/>
      <c r="AD41" s="11" t="n"/>
      <c r="AE41" s="11" t="n"/>
      <c r="AF41" s="11" t="n"/>
      <c r="AG41" s="14" t="n"/>
      <c r="AH41" s="11" t="n"/>
      <c r="AI41" s="14" t="n"/>
      <c r="AJ41" s="13" t="n"/>
      <c r="AK41" s="11" t="n"/>
      <c r="AL41" s="13">
        <f>IF(X41="","",IF(AN41="Received",0,X41-IF(AJ41&lt;&gt;"",AJ41,0)))</f>
        <v/>
      </c>
      <c r="AM41" s="13" t="n"/>
      <c r="AN41" s="11" t="n"/>
      <c r="AO41" s="11" t="n"/>
      <c r="AP41" s="13" t="n"/>
      <c r="AQ41" s="11">
        <f>IF(B41&lt;&gt;"","INV-"&amp;TEXT(ROW()-3,"0000"),"")</f>
        <v/>
      </c>
      <c r="AR41" s="11" t="n"/>
    </row>
    <row r="42">
      <c r="A42" s="7">
        <f>IF(B42&lt;&gt;"",ROW()-3,"")</f>
        <v/>
      </c>
      <c r="B42" s="8" t="n"/>
      <c r="C42" s="9">
        <f>IF(B42&lt;&gt;"","ST-"&amp;TEXT(ROW()-3,"0000"),"")</f>
        <v/>
      </c>
      <c r="D42" s="10" t="n"/>
      <c r="E42" s="11" t="n"/>
      <c r="F42" s="11" t="n"/>
      <c r="G42" s="11" t="n"/>
      <c r="H42" s="10" t="n"/>
      <c r="I42" s="11" t="n"/>
      <c r="J42" s="10" t="n"/>
      <c r="K42" s="10" t="n"/>
      <c r="L42" s="11" t="n"/>
      <c r="M42" s="12" t="n"/>
      <c r="N42" s="11" t="n"/>
      <c r="O42" s="13" t="n"/>
      <c r="P42" s="11" t="n"/>
      <c r="Q42" s="13" t="n"/>
      <c r="R42" s="11" t="n"/>
      <c r="S42" s="13" t="n"/>
      <c r="T42" s="11" t="n"/>
      <c r="U42" s="13" t="n"/>
      <c r="V42" s="13">
        <f>IF(COUNTA(N42)&gt;0,SUM(O42,Q42,S42,U42),"")</f>
        <v/>
      </c>
      <c r="W42" s="13" t="n"/>
      <c r="X42" s="13">
        <f>IF(V42&lt;&gt;"",V42-IF(W42&lt;&gt;"",W42,0),"")</f>
        <v/>
      </c>
      <c r="Y42" s="14" t="n"/>
      <c r="Z42" s="11" t="n"/>
      <c r="AA42" s="11" t="n"/>
      <c r="AB42" s="11" t="n"/>
      <c r="AC42" s="10" t="n"/>
      <c r="AD42" s="11" t="n"/>
      <c r="AE42" s="11" t="n"/>
      <c r="AF42" s="11" t="n"/>
      <c r="AG42" s="14" t="n"/>
      <c r="AH42" s="11" t="n"/>
      <c r="AI42" s="14" t="n"/>
      <c r="AJ42" s="13" t="n"/>
      <c r="AK42" s="11" t="n"/>
      <c r="AL42" s="13">
        <f>IF(X42="","",IF(AN42="Received",0,X42-IF(AJ42&lt;&gt;"",AJ42,0)))</f>
        <v/>
      </c>
      <c r="AM42" s="13" t="n"/>
      <c r="AN42" s="11" t="n"/>
      <c r="AO42" s="11" t="n"/>
      <c r="AP42" s="13" t="n"/>
      <c r="AQ42" s="11">
        <f>IF(B42&lt;&gt;"","INV-"&amp;TEXT(ROW()-3,"0000"),"")</f>
        <v/>
      </c>
      <c r="AR42" s="11" t="n"/>
    </row>
    <row r="43">
      <c r="A43" s="7">
        <f>IF(B43&lt;&gt;"",ROW()-3,"")</f>
        <v/>
      </c>
      <c r="B43" s="8" t="n"/>
      <c r="C43" s="9">
        <f>IF(B43&lt;&gt;"","ST-"&amp;TEXT(ROW()-3,"0000"),"")</f>
        <v/>
      </c>
      <c r="D43" s="10" t="n"/>
      <c r="E43" s="11" t="n"/>
      <c r="F43" s="11" t="n"/>
      <c r="G43" s="11" t="n"/>
      <c r="H43" s="10" t="n"/>
      <c r="I43" s="11" t="n"/>
      <c r="J43" s="10" t="n"/>
      <c r="K43" s="10" t="n"/>
      <c r="L43" s="11" t="n"/>
      <c r="M43" s="12" t="n"/>
      <c r="N43" s="11" t="n"/>
      <c r="O43" s="13" t="n"/>
      <c r="P43" s="11" t="n"/>
      <c r="Q43" s="13" t="n"/>
      <c r="R43" s="11" t="n"/>
      <c r="S43" s="13" t="n"/>
      <c r="T43" s="11" t="n"/>
      <c r="U43" s="13" t="n"/>
      <c r="V43" s="13">
        <f>IF(COUNTA(N43)&gt;0,SUM(O43,Q43,S43,U43),"")</f>
        <v/>
      </c>
      <c r="W43" s="13" t="n"/>
      <c r="X43" s="13">
        <f>IF(V43&lt;&gt;"",V43-IF(W43&lt;&gt;"",W43,0),"")</f>
        <v/>
      </c>
      <c r="Y43" s="14" t="n"/>
      <c r="Z43" s="11" t="n"/>
      <c r="AA43" s="11" t="n"/>
      <c r="AB43" s="11" t="n"/>
      <c r="AC43" s="10" t="n"/>
      <c r="AD43" s="11" t="n"/>
      <c r="AE43" s="11" t="n"/>
      <c r="AF43" s="11" t="n"/>
      <c r="AG43" s="14" t="n"/>
      <c r="AH43" s="11" t="n"/>
      <c r="AI43" s="14" t="n"/>
      <c r="AJ43" s="13" t="n"/>
      <c r="AK43" s="11" t="n"/>
      <c r="AL43" s="13">
        <f>IF(X43="","",IF(AN43="Received",0,X43-IF(AJ43&lt;&gt;"",AJ43,0)))</f>
        <v/>
      </c>
      <c r="AM43" s="13" t="n"/>
      <c r="AN43" s="11" t="n"/>
      <c r="AO43" s="11" t="n"/>
      <c r="AP43" s="13" t="n"/>
      <c r="AQ43" s="11">
        <f>IF(B43&lt;&gt;"","INV-"&amp;TEXT(ROW()-3,"0000"),"")</f>
        <v/>
      </c>
      <c r="AR43" s="11" t="n"/>
    </row>
    <row r="44">
      <c r="A44" s="7">
        <f>IF(B44&lt;&gt;"",ROW()-3,"")</f>
        <v/>
      </c>
      <c r="B44" s="8" t="n"/>
      <c r="C44" s="9">
        <f>IF(B44&lt;&gt;"","ST-"&amp;TEXT(ROW()-3,"0000"),"")</f>
        <v/>
      </c>
      <c r="D44" s="10" t="n"/>
      <c r="E44" s="11" t="n"/>
      <c r="F44" s="11" t="n"/>
      <c r="G44" s="11" t="n"/>
      <c r="H44" s="10" t="n"/>
      <c r="I44" s="11" t="n"/>
      <c r="J44" s="10" t="n"/>
      <c r="K44" s="10" t="n"/>
      <c r="L44" s="11" t="n"/>
      <c r="M44" s="12" t="n"/>
      <c r="N44" s="11" t="n"/>
      <c r="O44" s="13" t="n"/>
      <c r="P44" s="11" t="n"/>
      <c r="Q44" s="13" t="n"/>
      <c r="R44" s="11" t="n"/>
      <c r="S44" s="13" t="n"/>
      <c r="T44" s="11" t="n"/>
      <c r="U44" s="13" t="n"/>
      <c r="V44" s="13">
        <f>IF(COUNTA(N44)&gt;0,SUM(O44,Q44,S44,U44),"")</f>
        <v/>
      </c>
      <c r="W44" s="13" t="n"/>
      <c r="X44" s="13">
        <f>IF(V44&lt;&gt;"",V44-IF(W44&lt;&gt;"",W44,0),"")</f>
        <v/>
      </c>
      <c r="Y44" s="14" t="n"/>
      <c r="Z44" s="11" t="n"/>
      <c r="AA44" s="11" t="n"/>
      <c r="AB44" s="11" t="n"/>
      <c r="AC44" s="10" t="n"/>
      <c r="AD44" s="11" t="n"/>
      <c r="AE44" s="11" t="n"/>
      <c r="AF44" s="11" t="n"/>
      <c r="AG44" s="14" t="n"/>
      <c r="AH44" s="11" t="n"/>
      <c r="AI44" s="14" t="n"/>
      <c r="AJ44" s="13" t="n"/>
      <c r="AK44" s="11" t="n"/>
      <c r="AL44" s="13">
        <f>IF(X44="","",IF(AN44="Received",0,X44-IF(AJ44&lt;&gt;"",AJ44,0)))</f>
        <v/>
      </c>
      <c r="AM44" s="13" t="n"/>
      <c r="AN44" s="11" t="n"/>
      <c r="AO44" s="11" t="n"/>
      <c r="AP44" s="13" t="n"/>
      <c r="AQ44" s="11">
        <f>IF(B44&lt;&gt;"","INV-"&amp;TEXT(ROW()-3,"0000"),"")</f>
        <v/>
      </c>
      <c r="AR44" s="11" t="n"/>
    </row>
    <row r="45">
      <c r="A45" s="7">
        <f>IF(B45&lt;&gt;"",ROW()-3,"")</f>
        <v/>
      </c>
      <c r="B45" s="8" t="n"/>
      <c r="C45" s="9">
        <f>IF(B45&lt;&gt;"","ST-"&amp;TEXT(ROW()-3,"0000"),"")</f>
        <v/>
      </c>
      <c r="D45" s="10" t="n"/>
      <c r="E45" s="11" t="n"/>
      <c r="F45" s="11" t="n"/>
      <c r="G45" s="11" t="n"/>
      <c r="H45" s="10" t="n"/>
      <c r="I45" s="11" t="n"/>
      <c r="J45" s="10" t="n"/>
      <c r="K45" s="10" t="n"/>
      <c r="L45" s="11" t="n"/>
      <c r="M45" s="12" t="n"/>
      <c r="N45" s="11" t="n"/>
      <c r="O45" s="13" t="n"/>
      <c r="P45" s="11" t="n"/>
      <c r="Q45" s="13" t="n"/>
      <c r="R45" s="11" t="n"/>
      <c r="S45" s="13" t="n"/>
      <c r="T45" s="11" t="n"/>
      <c r="U45" s="13" t="n"/>
      <c r="V45" s="13">
        <f>IF(COUNTA(N45)&gt;0,SUM(O45,Q45,S45,U45),"")</f>
        <v/>
      </c>
      <c r="W45" s="13" t="n"/>
      <c r="X45" s="13">
        <f>IF(V45&lt;&gt;"",V45-IF(W45&lt;&gt;"",W45,0),"")</f>
        <v/>
      </c>
      <c r="Y45" s="14" t="n"/>
      <c r="Z45" s="11" t="n"/>
      <c r="AA45" s="11" t="n"/>
      <c r="AB45" s="11" t="n"/>
      <c r="AC45" s="10" t="n"/>
      <c r="AD45" s="11" t="n"/>
      <c r="AE45" s="11" t="n"/>
      <c r="AF45" s="11" t="n"/>
      <c r="AG45" s="14" t="n"/>
      <c r="AH45" s="11" t="n"/>
      <c r="AI45" s="14" t="n"/>
      <c r="AJ45" s="13" t="n"/>
      <c r="AK45" s="11" t="n"/>
      <c r="AL45" s="13">
        <f>IF(X45="","",IF(AN45="Received",0,X45-IF(AJ45&lt;&gt;"",AJ45,0)))</f>
        <v/>
      </c>
      <c r="AM45" s="13" t="n"/>
      <c r="AN45" s="11" t="n"/>
      <c r="AO45" s="11" t="n"/>
      <c r="AP45" s="13" t="n"/>
      <c r="AQ45" s="11">
        <f>IF(B45&lt;&gt;"","INV-"&amp;TEXT(ROW()-3,"0000"),"")</f>
        <v/>
      </c>
      <c r="AR45" s="11" t="n"/>
    </row>
    <row r="46">
      <c r="A46" s="7">
        <f>IF(B46&lt;&gt;"",ROW()-3,"")</f>
        <v/>
      </c>
      <c r="B46" s="8" t="n"/>
      <c r="C46" s="9">
        <f>IF(B46&lt;&gt;"","ST-"&amp;TEXT(ROW()-3,"0000"),"")</f>
        <v/>
      </c>
      <c r="D46" s="10" t="n"/>
      <c r="E46" s="11" t="n"/>
      <c r="F46" s="11" t="n"/>
      <c r="G46" s="11" t="n"/>
      <c r="H46" s="10" t="n"/>
      <c r="I46" s="11" t="n"/>
      <c r="J46" s="10" t="n"/>
      <c r="K46" s="10" t="n"/>
      <c r="L46" s="11" t="n"/>
      <c r="M46" s="12" t="n"/>
      <c r="N46" s="11" t="n"/>
      <c r="O46" s="13" t="n"/>
      <c r="P46" s="11" t="n"/>
      <c r="Q46" s="13" t="n"/>
      <c r="R46" s="11" t="n"/>
      <c r="S46" s="13" t="n"/>
      <c r="T46" s="11" t="n"/>
      <c r="U46" s="13" t="n"/>
      <c r="V46" s="13">
        <f>IF(COUNTA(N46)&gt;0,SUM(O46,Q46,S46,U46),"")</f>
        <v/>
      </c>
      <c r="W46" s="13" t="n"/>
      <c r="X46" s="13">
        <f>IF(V46&lt;&gt;"",V46-IF(W46&lt;&gt;"",W46,0),"")</f>
        <v/>
      </c>
      <c r="Y46" s="14" t="n"/>
      <c r="Z46" s="11" t="n"/>
      <c r="AA46" s="11" t="n"/>
      <c r="AB46" s="11" t="n"/>
      <c r="AC46" s="10" t="n"/>
      <c r="AD46" s="11" t="n"/>
      <c r="AE46" s="11" t="n"/>
      <c r="AF46" s="11" t="n"/>
      <c r="AG46" s="14" t="n"/>
      <c r="AH46" s="11" t="n"/>
      <c r="AI46" s="14" t="n"/>
      <c r="AJ46" s="13" t="n"/>
      <c r="AK46" s="11" t="n"/>
      <c r="AL46" s="13">
        <f>IF(X46="","",IF(AN46="Received",0,X46-IF(AJ46&lt;&gt;"",AJ46,0)))</f>
        <v/>
      </c>
      <c r="AM46" s="13" t="n"/>
      <c r="AN46" s="11" t="n"/>
      <c r="AO46" s="11" t="n"/>
      <c r="AP46" s="13" t="n"/>
      <c r="AQ46" s="11">
        <f>IF(B46&lt;&gt;"","INV-"&amp;TEXT(ROW()-3,"0000"),"")</f>
        <v/>
      </c>
      <c r="AR46" s="11" t="n"/>
    </row>
    <row r="47">
      <c r="A47" s="7">
        <f>IF(B47&lt;&gt;"",ROW()-3,"")</f>
        <v/>
      </c>
      <c r="B47" s="8" t="n"/>
      <c r="C47" s="9">
        <f>IF(B47&lt;&gt;"","ST-"&amp;TEXT(ROW()-3,"0000"),"")</f>
        <v/>
      </c>
      <c r="D47" s="10" t="n"/>
      <c r="E47" s="11" t="n"/>
      <c r="F47" s="11" t="n"/>
      <c r="G47" s="11" t="n"/>
      <c r="H47" s="10" t="n"/>
      <c r="I47" s="11" t="n"/>
      <c r="J47" s="10" t="n"/>
      <c r="K47" s="10" t="n"/>
      <c r="L47" s="11" t="n"/>
      <c r="M47" s="12" t="n"/>
      <c r="N47" s="11" t="n"/>
      <c r="O47" s="13" t="n"/>
      <c r="P47" s="11" t="n"/>
      <c r="Q47" s="13" t="n"/>
      <c r="R47" s="11" t="n"/>
      <c r="S47" s="13" t="n"/>
      <c r="T47" s="11" t="n"/>
      <c r="U47" s="13" t="n"/>
      <c r="V47" s="13">
        <f>IF(COUNTA(N47)&gt;0,SUM(O47,Q47,S47,U47),"")</f>
        <v/>
      </c>
      <c r="W47" s="13" t="n"/>
      <c r="X47" s="13">
        <f>IF(V47&lt;&gt;"",V47-IF(W47&lt;&gt;"",W47,0),"")</f>
        <v/>
      </c>
      <c r="Y47" s="14" t="n"/>
      <c r="Z47" s="11" t="n"/>
      <c r="AA47" s="11" t="n"/>
      <c r="AB47" s="11" t="n"/>
      <c r="AC47" s="10" t="n"/>
      <c r="AD47" s="11" t="n"/>
      <c r="AE47" s="11" t="n"/>
      <c r="AF47" s="11" t="n"/>
      <c r="AG47" s="14" t="n"/>
      <c r="AH47" s="11" t="n"/>
      <c r="AI47" s="14" t="n"/>
      <c r="AJ47" s="13" t="n"/>
      <c r="AK47" s="11" t="n"/>
      <c r="AL47" s="13">
        <f>IF(X47="","",IF(AN47="Received",0,X47-IF(AJ47&lt;&gt;"",AJ47,0)))</f>
        <v/>
      </c>
      <c r="AM47" s="13" t="n"/>
      <c r="AN47" s="11" t="n"/>
      <c r="AO47" s="11" t="n"/>
      <c r="AP47" s="13" t="n"/>
      <c r="AQ47" s="11">
        <f>IF(B47&lt;&gt;"","INV-"&amp;TEXT(ROW()-3,"0000"),"")</f>
        <v/>
      </c>
      <c r="AR47" s="11" t="n"/>
    </row>
    <row r="48">
      <c r="A48" s="7">
        <f>IF(B48&lt;&gt;"",ROW()-3,"")</f>
        <v/>
      </c>
      <c r="B48" s="8" t="n"/>
      <c r="C48" s="9">
        <f>IF(B48&lt;&gt;"","ST-"&amp;TEXT(ROW()-3,"0000"),"")</f>
        <v/>
      </c>
      <c r="D48" s="10" t="n"/>
      <c r="E48" s="11" t="n"/>
      <c r="F48" s="11" t="n"/>
      <c r="G48" s="11" t="n"/>
      <c r="H48" s="10" t="n"/>
      <c r="I48" s="11" t="n"/>
      <c r="J48" s="10" t="n"/>
      <c r="K48" s="10" t="n"/>
      <c r="L48" s="11" t="n"/>
      <c r="M48" s="12" t="n"/>
      <c r="N48" s="11" t="n"/>
      <c r="O48" s="13" t="n"/>
      <c r="P48" s="11" t="n"/>
      <c r="Q48" s="13" t="n"/>
      <c r="R48" s="11" t="n"/>
      <c r="S48" s="13" t="n"/>
      <c r="T48" s="11" t="n"/>
      <c r="U48" s="13" t="n"/>
      <c r="V48" s="13">
        <f>IF(COUNTA(N48)&gt;0,SUM(O48,Q48,S48,U48),"")</f>
        <v/>
      </c>
      <c r="W48" s="13" t="n"/>
      <c r="X48" s="13">
        <f>IF(V48&lt;&gt;"",V48-IF(W48&lt;&gt;"",W48,0),"")</f>
        <v/>
      </c>
      <c r="Y48" s="14" t="n"/>
      <c r="Z48" s="11" t="n"/>
      <c r="AA48" s="11" t="n"/>
      <c r="AB48" s="11" t="n"/>
      <c r="AC48" s="10" t="n"/>
      <c r="AD48" s="11" t="n"/>
      <c r="AE48" s="11" t="n"/>
      <c r="AF48" s="11" t="n"/>
      <c r="AG48" s="14" t="n"/>
      <c r="AH48" s="11" t="n"/>
      <c r="AI48" s="14" t="n"/>
      <c r="AJ48" s="13" t="n"/>
      <c r="AK48" s="11" t="n"/>
      <c r="AL48" s="13">
        <f>IF(X48="","",IF(AN48="Received",0,X48-IF(AJ48&lt;&gt;"",AJ48,0)))</f>
        <v/>
      </c>
      <c r="AM48" s="13" t="n"/>
      <c r="AN48" s="11" t="n"/>
      <c r="AO48" s="11" t="n"/>
      <c r="AP48" s="13" t="n"/>
      <c r="AQ48" s="11">
        <f>IF(B48&lt;&gt;"","INV-"&amp;TEXT(ROW()-3,"0000"),"")</f>
        <v/>
      </c>
      <c r="AR48" s="11" t="n"/>
    </row>
    <row r="49">
      <c r="A49" s="7">
        <f>IF(B49&lt;&gt;"",ROW()-3,"")</f>
        <v/>
      </c>
      <c r="B49" s="8" t="n"/>
      <c r="C49" s="9">
        <f>IF(B49&lt;&gt;"","ST-"&amp;TEXT(ROW()-3,"0000"),"")</f>
        <v/>
      </c>
      <c r="D49" s="10" t="n"/>
      <c r="E49" s="11" t="n"/>
      <c r="F49" s="11" t="n"/>
      <c r="G49" s="11" t="n"/>
      <c r="H49" s="10" t="n"/>
      <c r="I49" s="11" t="n"/>
      <c r="J49" s="10" t="n"/>
      <c r="K49" s="10" t="n"/>
      <c r="L49" s="11" t="n"/>
      <c r="M49" s="12" t="n"/>
      <c r="N49" s="11" t="n"/>
      <c r="O49" s="13" t="n"/>
      <c r="P49" s="11" t="n"/>
      <c r="Q49" s="13" t="n"/>
      <c r="R49" s="11" t="n"/>
      <c r="S49" s="13" t="n"/>
      <c r="T49" s="11" t="n"/>
      <c r="U49" s="13" t="n"/>
      <c r="V49" s="13">
        <f>IF(COUNTA(N49)&gt;0,SUM(O49,Q49,S49,U49),"")</f>
        <v/>
      </c>
      <c r="W49" s="13" t="n"/>
      <c r="X49" s="13">
        <f>IF(V49&lt;&gt;"",V49-IF(W49&lt;&gt;"",W49,0),"")</f>
        <v/>
      </c>
      <c r="Y49" s="14" t="n"/>
      <c r="Z49" s="11" t="n"/>
      <c r="AA49" s="11" t="n"/>
      <c r="AB49" s="11" t="n"/>
      <c r="AC49" s="10" t="n"/>
      <c r="AD49" s="11" t="n"/>
      <c r="AE49" s="11" t="n"/>
      <c r="AF49" s="11" t="n"/>
      <c r="AG49" s="14" t="n"/>
      <c r="AH49" s="11" t="n"/>
      <c r="AI49" s="14" t="n"/>
      <c r="AJ49" s="13" t="n"/>
      <c r="AK49" s="11" t="n"/>
      <c r="AL49" s="13">
        <f>IF(X49="","",IF(AN49="Received",0,X49-IF(AJ49&lt;&gt;"",AJ49,0)))</f>
        <v/>
      </c>
      <c r="AM49" s="13" t="n"/>
      <c r="AN49" s="11" t="n"/>
      <c r="AO49" s="11" t="n"/>
      <c r="AP49" s="13" t="n"/>
      <c r="AQ49" s="11">
        <f>IF(B49&lt;&gt;"","INV-"&amp;TEXT(ROW()-3,"0000"),"")</f>
        <v/>
      </c>
      <c r="AR49" s="11" t="n"/>
    </row>
    <row r="50">
      <c r="A50" s="7">
        <f>IF(B50&lt;&gt;"",ROW()-3,"")</f>
        <v/>
      </c>
      <c r="B50" s="8" t="n"/>
      <c r="C50" s="9">
        <f>IF(B50&lt;&gt;"","ST-"&amp;TEXT(ROW()-3,"0000"),"")</f>
        <v/>
      </c>
      <c r="D50" s="10" t="n"/>
      <c r="E50" s="11" t="n"/>
      <c r="F50" s="11" t="n"/>
      <c r="G50" s="11" t="n"/>
      <c r="H50" s="10" t="n"/>
      <c r="I50" s="11" t="n"/>
      <c r="J50" s="10" t="n"/>
      <c r="K50" s="10" t="n"/>
      <c r="L50" s="11" t="n"/>
      <c r="M50" s="12" t="n"/>
      <c r="N50" s="11" t="n"/>
      <c r="O50" s="13" t="n"/>
      <c r="P50" s="11" t="n"/>
      <c r="Q50" s="13" t="n"/>
      <c r="R50" s="11" t="n"/>
      <c r="S50" s="13" t="n"/>
      <c r="T50" s="11" t="n"/>
      <c r="U50" s="13" t="n"/>
      <c r="V50" s="13">
        <f>IF(COUNTA(N50)&gt;0,SUM(O50,Q50,S50,U50),"")</f>
        <v/>
      </c>
      <c r="W50" s="13" t="n"/>
      <c r="X50" s="13">
        <f>IF(V50&lt;&gt;"",V50-IF(W50&lt;&gt;"",W50,0),"")</f>
        <v/>
      </c>
      <c r="Y50" s="14" t="n"/>
      <c r="Z50" s="11" t="n"/>
      <c r="AA50" s="11" t="n"/>
      <c r="AB50" s="11" t="n"/>
      <c r="AC50" s="10" t="n"/>
      <c r="AD50" s="11" t="n"/>
      <c r="AE50" s="11" t="n"/>
      <c r="AF50" s="11" t="n"/>
      <c r="AG50" s="14" t="n"/>
      <c r="AH50" s="11" t="n"/>
      <c r="AI50" s="14" t="n"/>
      <c r="AJ50" s="13" t="n"/>
      <c r="AK50" s="11" t="n"/>
      <c r="AL50" s="13">
        <f>IF(X50="","",IF(AN50="Received",0,X50-IF(AJ50&lt;&gt;"",AJ50,0)))</f>
        <v/>
      </c>
      <c r="AM50" s="13" t="n"/>
      <c r="AN50" s="11" t="n"/>
      <c r="AO50" s="11" t="n"/>
      <c r="AP50" s="13" t="n"/>
      <c r="AQ50" s="11">
        <f>IF(B50&lt;&gt;"","INV-"&amp;TEXT(ROW()-3,"0000"),"")</f>
        <v/>
      </c>
      <c r="AR50" s="11" t="n"/>
    </row>
    <row r="51">
      <c r="A51" s="7">
        <f>IF(B51&lt;&gt;"",ROW()-3,"")</f>
        <v/>
      </c>
      <c r="B51" s="8" t="n"/>
      <c r="C51" s="9">
        <f>IF(B51&lt;&gt;"","ST-"&amp;TEXT(ROW()-3,"0000"),"")</f>
        <v/>
      </c>
      <c r="D51" s="10" t="n"/>
      <c r="E51" s="11" t="n"/>
      <c r="F51" s="11" t="n"/>
      <c r="G51" s="11" t="n"/>
      <c r="H51" s="10" t="n"/>
      <c r="I51" s="11" t="n"/>
      <c r="J51" s="10" t="n"/>
      <c r="K51" s="10" t="n"/>
      <c r="L51" s="11" t="n"/>
      <c r="M51" s="12" t="n"/>
      <c r="N51" s="11" t="n"/>
      <c r="O51" s="13" t="n"/>
      <c r="P51" s="11" t="n"/>
      <c r="Q51" s="13" t="n"/>
      <c r="R51" s="11" t="n"/>
      <c r="S51" s="13" t="n"/>
      <c r="T51" s="11" t="n"/>
      <c r="U51" s="13" t="n"/>
      <c r="V51" s="13">
        <f>IF(COUNTA(N51)&gt;0,SUM(O51,Q51,S51,U51),"")</f>
        <v/>
      </c>
      <c r="W51" s="13" t="n"/>
      <c r="X51" s="13">
        <f>IF(V51&lt;&gt;"",V51-IF(W51&lt;&gt;"",W51,0),"")</f>
        <v/>
      </c>
      <c r="Y51" s="14" t="n"/>
      <c r="Z51" s="11" t="n"/>
      <c r="AA51" s="11" t="n"/>
      <c r="AB51" s="11" t="n"/>
      <c r="AC51" s="10" t="n"/>
      <c r="AD51" s="11" t="n"/>
      <c r="AE51" s="11" t="n"/>
      <c r="AF51" s="11" t="n"/>
      <c r="AG51" s="14" t="n"/>
      <c r="AH51" s="11" t="n"/>
      <c r="AI51" s="14" t="n"/>
      <c r="AJ51" s="13" t="n"/>
      <c r="AK51" s="11" t="n"/>
      <c r="AL51" s="13">
        <f>IF(X51="","",IF(AN51="Received",0,X51-IF(AJ51&lt;&gt;"",AJ51,0)))</f>
        <v/>
      </c>
      <c r="AM51" s="13" t="n"/>
      <c r="AN51" s="11" t="n"/>
      <c r="AO51" s="11" t="n"/>
      <c r="AP51" s="13" t="n"/>
      <c r="AQ51" s="11">
        <f>IF(B51&lt;&gt;"","INV-"&amp;TEXT(ROW()-3,"0000"),"")</f>
        <v/>
      </c>
      <c r="AR51" s="11" t="n"/>
    </row>
    <row r="52">
      <c r="A52" s="7">
        <f>IF(B52&lt;&gt;"",ROW()-3,"")</f>
        <v/>
      </c>
      <c r="B52" s="8" t="n"/>
      <c r="C52" s="9">
        <f>IF(B52&lt;&gt;"","ST-"&amp;TEXT(ROW()-3,"0000"),"")</f>
        <v/>
      </c>
      <c r="D52" s="10" t="n"/>
      <c r="E52" s="11" t="n"/>
      <c r="F52" s="11" t="n"/>
      <c r="G52" s="11" t="n"/>
      <c r="H52" s="10" t="n"/>
      <c r="I52" s="11" t="n"/>
      <c r="J52" s="10" t="n"/>
      <c r="K52" s="10" t="n"/>
      <c r="L52" s="11" t="n"/>
      <c r="M52" s="12" t="n"/>
      <c r="N52" s="11" t="n"/>
      <c r="O52" s="13" t="n"/>
      <c r="P52" s="11" t="n"/>
      <c r="Q52" s="13" t="n"/>
      <c r="R52" s="11" t="n"/>
      <c r="S52" s="13" t="n"/>
      <c r="T52" s="11" t="n"/>
      <c r="U52" s="13" t="n"/>
      <c r="V52" s="13">
        <f>IF(COUNTA(N52)&gt;0,SUM(O52,Q52,S52,U52),"")</f>
        <v/>
      </c>
      <c r="W52" s="13" t="n"/>
      <c r="X52" s="13">
        <f>IF(V52&lt;&gt;"",V52-IF(W52&lt;&gt;"",W52,0),"")</f>
        <v/>
      </c>
      <c r="Y52" s="14" t="n"/>
      <c r="Z52" s="11" t="n"/>
      <c r="AA52" s="11" t="n"/>
      <c r="AB52" s="11" t="n"/>
      <c r="AC52" s="10" t="n"/>
      <c r="AD52" s="11" t="n"/>
      <c r="AE52" s="11" t="n"/>
      <c r="AF52" s="11" t="n"/>
      <c r="AG52" s="14" t="n"/>
      <c r="AH52" s="11" t="n"/>
      <c r="AI52" s="14" t="n"/>
      <c r="AJ52" s="13" t="n"/>
      <c r="AK52" s="11" t="n"/>
      <c r="AL52" s="13">
        <f>IF(X52="","",IF(AN52="Received",0,X52-IF(AJ52&lt;&gt;"",AJ52,0)))</f>
        <v/>
      </c>
      <c r="AM52" s="13" t="n"/>
      <c r="AN52" s="11" t="n"/>
      <c r="AO52" s="11" t="n"/>
      <c r="AP52" s="13" t="n"/>
      <c r="AQ52" s="11">
        <f>IF(B52&lt;&gt;"","INV-"&amp;TEXT(ROW()-3,"0000"),"")</f>
        <v/>
      </c>
      <c r="AR52" s="11" t="n"/>
    </row>
    <row r="53">
      <c r="A53" s="7">
        <f>IF(B53&lt;&gt;"",ROW()-3,"")</f>
        <v/>
      </c>
      <c r="B53" s="8" t="n"/>
      <c r="C53" s="9">
        <f>IF(B53&lt;&gt;"","ST-"&amp;TEXT(ROW()-3,"0000"),"")</f>
        <v/>
      </c>
      <c r="D53" s="10" t="n"/>
      <c r="E53" s="11" t="n"/>
      <c r="F53" s="11" t="n"/>
      <c r="G53" s="11" t="n"/>
      <c r="H53" s="10" t="n"/>
      <c r="I53" s="11" t="n"/>
      <c r="J53" s="10" t="n"/>
      <c r="K53" s="10" t="n"/>
      <c r="L53" s="11" t="n"/>
      <c r="M53" s="12" t="n"/>
      <c r="N53" s="11" t="n"/>
      <c r="O53" s="13" t="n"/>
      <c r="P53" s="11" t="n"/>
      <c r="Q53" s="13" t="n"/>
      <c r="R53" s="11" t="n"/>
      <c r="S53" s="13" t="n"/>
      <c r="T53" s="11" t="n"/>
      <c r="U53" s="13" t="n"/>
      <c r="V53" s="13">
        <f>IF(COUNTA(N53)&gt;0,SUM(O53,Q53,S53,U53),"")</f>
        <v/>
      </c>
      <c r="W53" s="13" t="n"/>
      <c r="X53" s="13">
        <f>IF(V53&lt;&gt;"",V53-IF(W53&lt;&gt;"",W53,0),"")</f>
        <v/>
      </c>
      <c r="Y53" s="14" t="n"/>
      <c r="Z53" s="11" t="n"/>
      <c r="AA53" s="11" t="n"/>
      <c r="AB53" s="11" t="n"/>
      <c r="AC53" s="10" t="n"/>
      <c r="AD53" s="11" t="n"/>
      <c r="AE53" s="11" t="n"/>
      <c r="AF53" s="11" t="n"/>
      <c r="AG53" s="14" t="n"/>
      <c r="AH53" s="11" t="n"/>
      <c r="AI53" s="14" t="n"/>
      <c r="AJ53" s="13" t="n"/>
      <c r="AK53" s="11" t="n"/>
      <c r="AL53" s="13">
        <f>IF(X53="","",IF(AN53="Received",0,X53-IF(AJ53&lt;&gt;"",AJ53,0)))</f>
        <v/>
      </c>
      <c r="AM53" s="13" t="n"/>
      <c r="AN53" s="11" t="n"/>
      <c r="AO53" s="11" t="n"/>
      <c r="AP53" s="13" t="n"/>
      <c r="AQ53" s="11">
        <f>IF(B53&lt;&gt;"","INV-"&amp;TEXT(ROW()-3,"0000"),"")</f>
        <v/>
      </c>
      <c r="AR53" s="11" t="n"/>
    </row>
    <row r="54">
      <c r="A54" s="7">
        <f>IF(B54&lt;&gt;"",ROW()-3,"")</f>
        <v/>
      </c>
      <c r="B54" s="8" t="n"/>
      <c r="C54" s="9">
        <f>IF(B54&lt;&gt;"","ST-"&amp;TEXT(ROW()-3,"0000"),"")</f>
        <v/>
      </c>
      <c r="D54" s="10" t="n"/>
      <c r="E54" s="11" t="n"/>
      <c r="F54" s="11" t="n"/>
      <c r="G54" s="11" t="n"/>
      <c r="H54" s="10" t="n"/>
      <c r="I54" s="11" t="n"/>
      <c r="J54" s="10" t="n"/>
      <c r="K54" s="10" t="n"/>
      <c r="L54" s="11" t="n"/>
      <c r="M54" s="12" t="n"/>
      <c r="N54" s="11" t="n"/>
      <c r="O54" s="13" t="n"/>
      <c r="P54" s="11" t="n"/>
      <c r="Q54" s="13" t="n"/>
      <c r="R54" s="11" t="n"/>
      <c r="S54" s="13" t="n"/>
      <c r="T54" s="11" t="n"/>
      <c r="U54" s="13" t="n"/>
      <c r="V54" s="13">
        <f>IF(COUNTA(N54)&gt;0,SUM(O54,Q54,S54,U54),"")</f>
        <v/>
      </c>
      <c r="W54" s="13" t="n"/>
      <c r="X54" s="13">
        <f>IF(V54&lt;&gt;"",V54-IF(W54&lt;&gt;"",W54,0),"")</f>
        <v/>
      </c>
      <c r="Y54" s="14" t="n"/>
      <c r="Z54" s="11" t="n"/>
      <c r="AA54" s="11" t="n"/>
      <c r="AB54" s="11" t="n"/>
      <c r="AC54" s="10" t="n"/>
      <c r="AD54" s="11" t="n"/>
      <c r="AE54" s="11" t="n"/>
      <c r="AF54" s="11" t="n"/>
      <c r="AG54" s="14" t="n"/>
      <c r="AH54" s="11" t="n"/>
      <c r="AI54" s="14" t="n"/>
      <c r="AJ54" s="13" t="n"/>
      <c r="AK54" s="11" t="n"/>
      <c r="AL54" s="13">
        <f>IF(X54="","",IF(AN54="Received",0,X54-IF(AJ54&lt;&gt;"",AJ54,0)))</f>
        <v/>
      </c>
      <c r="AM54" s="13" t="n"/>
      <c r="AN54" s="11" t="n"/>
      <c r="AO54" s="11" t="n"/>
      <c r="AP54" s="13" t="n"/>
      <c r="AQ54" s="11">
        <f>IF(B54&lt;&gt;"","INV-"&amp;TEXT(ROW()-3,"0000"),"")</f>
        <v/>
      </c>
      <c r="AR54" s="11" t="n"/>
    </row>
    <row r="55">
      <c r="A55" s="7">
        <f>IF(B55&lt;&gt;"",ROW()-3,"")</f>
        <v/>
      </c>
      <c r="B55" s="8" t="n"/>
      <c r="C55" s="9">
        <f>IF(B55&lt;&gt;"","ST-"&amp;TEXT(ROW()-3,"0000"),"")</f>
        <v/>
      </c>
      <c r="D55" s="10" t="n"/>
      <c r="E55" s="11" t="n"/>
      <c r="F55" s="11" t="n"/>
      <c r="G55" s="11" t="n"/>
      <c r="H55" s="10" t="n"/>
      <c r="I55" s="11" t="n"/>
      <c r="J55" s="10" t="n"/>
      <c r="K55" s="10" t="n"/>
      <c r="L55" s="11" t="n"/>
      <c r="M55" s="12" t="n"/>
      <c r="N55" s="11" t="n"/>
      <c r="O55" s="13" t="n"/>
      <c r="P55" s="11" t="n"/>
      <c r="Q55" s="13" t="n"/>
      <c r="R55" s="11" t="n"/>
      <c r="S55" s="13" t="n"/>
      <c r="T55" s="11" t="n"/>
      <c r="U55" s="13" t="n"/>
      <c r="V55" s="13">
        <f>IF(COUNTA(N55)&gt;0,SUM(O55,Q55,S55,U55),"")</f>
        <v/>
      </c>
      <c r="W55" s="13" t="n"/>
      <c r="X55" s="13">
        <f>IF(V55&lt;&gt;"",V55-IF(W55&lt;&gt;"",W55,0),"")</f>
        <v/>
      </c>
      <c r="Y55" s="14" t="n"/>
      <c r="Z55" s="11" t="n"/>
      <c r="AA55" s="11" t="n"/>
      <c r="AB55" s="11" t="n"/>
      <c r="AC55" s="10" t="n"/>
      <c r="AD55" s="11" t="n"/>
      <c r="AE55" s="11" t="n"/>
      <c r="AF55" s="11" t="n"/>
      <c r="AG55" s="14" t="n"/>
      <c r="AH55" s="11" t="n"/>
      <c r="AI55" s="14" t="n"/>
      <c r="AJ55" s="13" t="n"/>
      <c r="AK55" s="11" t="n"/>
      <c r="AL55" s="13">
        <f>IF(X55="","",IF(AN55="Received",0,X55-IF(AJ55&lt;&gt;"",AJ55,0)))</f>
        <v/>
      </c>
      <c r="AM55" s="13" t="n"/>
      <c r="AN55" s="11" t="n"/>
      <c r="AO55" s="11" t="n"/>
      <c r="AP55" s="13" t="n"/>
      <c r="AQ55" s="11">
        <f>IF(B55&lt;&gt;"","INV-"&amp;TEXT(ROW()-3,"0000"),"")</f>
        <v/>
      </c>
      <c r="AR55" s="11" t="n"/>
    </row>
    <row r="56">
      <c r="A56" s="7">
        <f>IF(B56&lt;&gt;"",ROW()-3,"")</f>
        <v/>
      </c>
      <c r="B56" s="8" t="n"/>
      <c r="C56" s="9">
        <f>IF(B56&lt;&gt;"","ST-"&amp;TEXT(ROW()-3,"0000"),"")</f>
        <v/>
      </c>
      <c r="D56" s="10" t="n"/>
      <c r="E56" s="11" t="n"/>
      <c r="F56" s="11" t="n"/>
      <c r="G56" s="11" t="n"/>
      <c r="H56" s="10" t="n"/>
      <c r="I56" s="11" t="n"/>
      <c r="J56" s="10" t="n"/>
      <c r="K56" s="10" t="n"/>
      <c r="L56" s="11" t="n"/>
      <c r="M56" s="12" t="n"/>
      <c r="N56" s="11" t="n"/>
      <c r="O56" s="13" t="n"/>
      <c r="P56" s="11" t="n"/>
      <c r="Q56" s="13" t="n"/>
      <c r="R56" s="11" t="n"/>
      <c r="S56" s="13" t="n"/>
      <c r="T56" s="11" t="n"/>
      <c r="U56" s="13" t="n"/>
      <c r="V56" s="13">
        <f>IF(COUNTA(N56)&gt;0,SUM(O56,Q56,S56,U56),"")</f>
        <v/>
      </c>
      <c r="W56" s="13" t="n"/>
      <c r="X56" s="13">
        <f>IF(V56&lt;&gt;"",V56-IF(W56&lt;&gt;"",W56,0),"")</f>
        <v/>
      </c>
      <c r="Y56" s="14" t="n"/>
      <c r="Z56" s="11" t="n"/>
      <c r="AA56" s="11" t="n"/>
      <c r="AB56" s="11" t="n"/>
      <c r="AC56" s="10" t="n"/>
      <c r="AD56" s="11" t="n"/>
      <c r="AE56" s="11" t="n"/>
      <c r="AF56" s="11" t="n"/>
      <c r="AG56" s="14" t="n"/>
      <c r="AH56" s="11" t="n"/>
      <c r="AI56" s="14" t="n"/>
      <c r="AJ56" s="13" t="n"/>
      <c r="AK56" s="11" t="n"/>
      <c r="AL56" s="13">
        <f>IF(X56="","",IF(AN56="Received",0,X56-IF(AJ56&lt;&gt;"",AJ56,0)))</f>
        <v/>
      </c>
      <c r="AM56" s="13" t="n"/>
      <c r="AN56" s="11" t="n"/>
      <c r="AO56" s="11" t="n"/>
      <c r="AP56" s="13" t="n"/>
      <c r="AQ56" s="11">
        <f>IF(B56&lt;&gt;"","INV-"&amp;TEXT(ROW()-3,"0000"),"")</f>
        <v/>
      </c>
      <c r="AR56" s="11" t="n"/>
    </row>
    <row r="57">
      <c r="A57" s="7">
        <f>IF(B57&lt;&gt;"",ROW()-3,"")</f>
        <v/>
      </c>
      <c r="B57" s="8" t="n"/>
      <c r="C57" s="9">
        <f>IF(B57&lt;&gt;"","ST-"&amp;TEXT(ROW()-3,"0000"),"")</f>
        <v/>
      </c>
      <c r="D57" s="10" t="n"/>
      <c r="E57" s="11" t="n"/>
      <c r="F57" s="11" t="n"/>
      <c r="G57" s="11" t="n"/>
      <c r="H57" s="10" t="n"/>
      <c r="I57" s="11" t="n"/>
      <c r="J57" s="10" t="n"/>
      <c r="K57" s="10" t="n"/>
      <c r="L57" s="11" t="n"/>
      <c r="M57" s="12" t="n"/>
      <c r="N57" s="11" t="n"/>
      <c r="O57" s="13" t="n"/>
      <c r="P57" s="11" t="n"/>
      <c r="Q57" s="13" t="n"/>
      <c r="R57" s="11" t="n"/>
      <c r="S57" s="13" t="n"/>
      <c r="T57" s="11" t="n"/>
      <c r="U57" s="13" t="n"/>
      <c r="V57" s="13">
        <f>IF(COUNTA(N57)&gt;0,SUM(O57,Q57,S57,U57),"")</f>
        <v/>
      </c>
      <c r="W57" s="13" t="n"/>
      <c r="X57" s="13">
        <f>IF(V57&lt;&gt;"",V57-IF(W57&lt;&gt;"",W57,0),"")</f>
        <v/>
      </c>
      <c r="Y57" s="14" t="n"/>
      <c r="Z57" s="11" t="n"/>
      <c r="AA57" s="11" t="n"/>
      <c r="AB57" s="11" t="n"/>
      <c r="AC57" s="10" t="n"/>
      <c r="AD57" s="11" t="n"/>
      <c r="AE57" s="11" t="n"/>
      <c r="AF57" s="11" t="n"/>
      <c r="AG57" s="14" t="n"/>
      <c r="AH57" s="11" t="n"/>
      <c r="AI57" s="14" t="n"/>
      <c r="AJ57" s="13" t="n"/>
      <c r="AK57" s="11" t="n"/>
      <c r="AL57" s="13">
        <f>IF(X57="","",IF(AN57="Received",0,X57-IF(AJ57&lt;&gt;"",AJ57,0)))</f>
        <v/>
      </c>
      <c r="AM57" s="13" t="n"/>
      <c r="AN57" s="11" t="n"/>
      <c r="AO57" s="11" t="n"/>
      <c r="AP57" s="13" t="n"/>
      <c r="AQ57" s="11">
        <f>IF(B57&lt;&gt;"","INV-"&amp;TEXT(ROW()-3,"0000"),"")</f>
        <v/>
      </c>
      <c r="AR57" s="11" t="n"/>
    </row>
    <row r="58">
      <c r="A58" s="7">
        <f>IF(B58&lt;&gt;"",ROW()-3,"")</f>
        <v/>
      </c>
      <c r="B58" s="8" t="n"/>
      <c r="C58" s="9">
        <f>IF(B58&lt;&gt;"","ST-"&amp;TEXT(ROW()-3,"0000"),"")</f>
        <v/>
      </c>
      <c r="D58" s="10" t="n"/>
      <c r="E58" s="11" t="n"/>
      <c r="F58" s="11" t="n"/>
      <c r="G58" s="11" t="n"/>
      <c r="H58" s="10" t="n"/>
      <c r="I58" s="11" t="n"/>
      <c r="J58" s="10" t="n"/>
      <c r="K58" s="10" t="n"/>
      <c r="L58" s="11" t="n"/>
      <c r="M58" s="12" t="n"/>
      <c r="N58" s="11" t="n"/>
      <c r="O58" s="13" t="n"/>
      <c r="P58" s="11" t="n"/>
      <c r="Q58" s="13" t="n"/>
      <c r="R58" s="11" t="n"/>
      <c r="S58" s="13" t="n"/>
      <c r="T58" s="11" t="n"/>
      <c r="U58" s="13" t="n"/>
      <c r="V58" s="13">
        <f>IF(COUNTA(N58)&gt;0,SUM(O58,Q58,S58,U58),"")</f>
        <v/>
      </c>
      <c r="W58" s="13" t="n"/>
      <c r="X58" s="13">
        <f>IF(V58&lt;&gt;"",V58-IF(W58&lt;&gt;"",W58,0),"")</f>
        <v/>
      </c>
      <c r="Y58" s="14" t="n"/>
      <c r="Z58" s="11" t="n"/>
      <c r="AA58" s="11" t="n"/>
      <c r="AB58" s="11" t="n"/>
      <c r="AC58" s="10" t="n"/>
      <c r="AD58" s="11" t="n"/>
      <c r="AE58" s="11" t="n"/>
      <c r="AF58" s="11" t="n"/>
      <c r="AG58" s="14" t="n"/>
      <c r="AH58" s="11" t="n"/>
      <c r="AI58" s="14" t="n"/>
      <c r="AJ58" s="13" t="n"/>
      <c r="AK58" s="11" t="n"/>
      <c r="AL58" s="13">
        <f>IF(X58="","",IF(AN58="Received",0,X58-IF(AJ58&lt;&gt;"",AJ58,0)))</f>
        <v/>
      </c>
      <c r="AM58" s="13" t="n"/>
      <c r="AN58" s="11" t="n"/>
      <c r="AO58" s="11" t="n"/>
      <c r="AP58" s="13" t="n"/>
      <c r="AQ58" s="11">
        <f>IF(B58&lt;&gt;"","INV-"&amp;TEXT(ROW()-3,"0000"),"")</f>
        <v/>
      </c>
      <c r="AR58" s="11" t="n"/>
    </row>
    <row r="59">
      <c r="A59" s="7">
        <f>IF(B59&lt;&gt;"",ROW()-3,"")</f>
        <v/>
      </c>
      <c r="B59" s="8" t="n"/>
      <c r="C59" s="9">
        <f>IF(B59&lt;&gt;"","ST-"&amp;TEXT(ROW()-3,"0000"),"")</f>
        <v/>
      </c>
      <c r="D59" s="10" t="n"/>
      <c r="E59" s="11" t="n"/>
      <c r="F59" s="11" t="n"/>
      <c r="G59" s="11" t="n"/>
      <c r="H59" s="10" t="n"/>
      <c r="I59" s="11" t="n"/>
      <c r="J59" s="10" t="n"/>
      <c r="K59" s="10" t="n"/>
      <c r="L59" s="11" t="n"/>
      <c r="M59" s="12" t="n"/>
      <c r="N59" s="11" t="n"/>
      <c r="O59" s="13" t="n"/>
      <c r="P59" s="11" t="n"/>
      <c r="Q59" s="13" t="n"/>
      <c r="R59" s="11" t="n"/>
      <c r="S59" s="13" t="n"/>
      <c r="T59" s="11" t="n"/>
      <c r="U59" s="13" t="n"/>
      <c r="V59" s="13">
        <f>IF(COUNTA(N59)&gt;0,SUM(O59,Q59,S59,U59),"")</f>
        <v/>
      </c>
      <c r="W59" s="13" t="n"/>
      <c r="X59" s="13">
        <f>IF(V59&lt;&gt;"",V59-IF(W59&lt;&gt;"",W59,0),"")</f>
        <v/>
      </c>
      <c r="Y59" s="14" t="n"/>
      <c r="Z59" s="11" t="n"/>
      <c r="AA59" s="11" t="n"/>
      <c r="AB59" s="11" t="n"/>
      <c r="AC59" s="10" t="n"/>
      <c r="AD59" s="11" t="n"/>
      <c r="AE59" s="11" t="n"/>
      <c r="AF59" s="11" t="n"/>
      <c r="AG59" s="14" t="n"/>
      <c r="AH59" s="11" t="n"/>
      <c r="AI59" s="14" t="n"/>
      <c r="AJ59" s="13" t="n"/>
      <c r="AK59" s="11" t="n"/>
      <c r="AL59" s="13">
        <f>IF(X59="","",IF(AN59="Received",0,X59-IF(AJ59&lt;&gt;"",AJ59,0)))</f>
        <v/>
      </c>
      <c r="AM59" s="13" t="n"/>
      <c r="AN59" s="11" t="n"/>
      <c r="AO59" s="11" t="n"/>
      <c r="AP59" s="13" t="n"/>
      <c r="AQ59" s="11">
        <f>IF(B59&lt;&gt;"","INV-"&amp;TEXT(ROW()-3,"0000"),"")</f>
        <v/>
      </c>
      <c r="AR59" s="11" t="n"/>
    </row>
    <row r="60">
      <c r="A60" s="7">
        <f>IF(B60&lt;&gt;"",ROW()-3,"")</f>
        <v/>
      </c>
      <c r="B60" s="8" t="n"/>
      <c r="C60" s="9">
        <f>IF(B60&lt;&gt;"","ST-"&amp;TEXT(ROW()-3,"0000"),"")</f>
        <v/>
      </c>
      <c r="D60" s="10" t="n"/>
      <c r="E60" s="11" t="n"/>
      <c r="F60" s="11" t="n"/>
      <c r="G60" s="11" t="n"/>
      <c r="H60" s="10" t="n"/>
      <c r="I60" s="11" t="n"/>
      <c r="J60" s="10" t="n"/>
      <c r="K60" s="10" t="n"/>
      <c r="L60" s="11" t="n"/>
      <c r="M60" s="12" t="n"/>
      <c r="N60" s="11" t="n"/>
      <c r="O60" s="13" t="n"/>
      <c r="P60" s="11" t="n"/>
      <c r="Q60" s="13" t="n"/>
      <c r="R60" s="11" t="n"/>
      <c r="S60" s="13" t="n"/>
      <c r="T60" s="11" t="n"/>
      <c r="U60" s="13" t="n"/>
      <c r="V60" s="13">
        <f>IF(COUNTA(N60)&gt;0,SUM(O60,Q60,S60,U60),"")</f>
        <v/>
      </c>
      <c r="W60" s="13" t="n"/>
      <c r="X60" s="13">
        <f>IF(V60&lt;&gt;"",V60-IF(W60&lt;&gt;"",W60,0),"")</f>
        <v/>
      </c>
      <c r="Y60" s="14" t="n"/>
      <c r="Z60" s="11" t="n"/>
      <c r="AA60" s="11" t="n"/>
      <c r="AB60" s="11" t="n"/>
      <c r="AC60" s="10" t="n"/>
      <c r="AD60" s="11" t="n"/>
      <c r="AE60" s="11" t="n"/>
      <c r="AF60" s="11" t="n"/>
      <c r="AG60" s="14" t="n"/>
      <c r="AH60" s="11" t="n"/>
      <c r="AI60" s="14" t="n"/>
      <c r="AJ60" s="13" t="n"/>
      <c r="AK60" s="11" t="n"/>
      <c r="AL60" s="13">
        <f>IF(X60="","",IF(AN60="Received",0,X60-IF(AJ60&lt;&gt;"",AJ60,0)))</f>
        <v/>
      </c>
      <c r="AM60" s="13" t="n"/>
      <c r="AN60" s="11" t="n"/>
      <c r="AO60" s="11" t="n"/>
      <c r="AP60" s="13" t="n"/>
      <c r="AQ60" s="11">
        <f>IF(B60&lt;&gt;"","INV-"&amp;TEXT(ROW()-3,"0000"),"")</f>
        <v/>
      </c>
      <c r="AR60" s="11" t="n"/>
    </row>
    <row r="61">
      <c r="A61" s="7">
        <f>IF(B61&lt;&gt;"",ROW()-3,"")</f>
        <v/>
      </c>
      <c r="B61" s="8" t="n"/>
      <c r="C61" s="9">
        <f>IF(B61&lt;&gt;"","ST-"&amp;TEXT(ROW()-3,"0000"),"")</f>
        <v/>
      </c>
      <c r="D61" s="10" t="n"/>
      <c r="E61" s="11" t="n"/>
      <c r="F61" s="11" t="n"/>
      <c r="G61" s="11" t="n"/>
      <c r="H61" s="10" t="n"/>
      <c r="I61" s="11" t="n"/>
      <c r="J61" s="10" t="n"/>
      <c r="K61" s="10" t="n"/>
      <c r="L61" s="11" t="n"/>
      <c r="M61" s="12" t="n"/>
      <c r="N61" s="11" t="n"/>
      <c r="O61" s="13" t="n"/>
      <c r="P61" s="11" t="n"/>
      <c r="Q61" s="13" t="n"/>
      <c r="R61" s="11" t="n"/>
      <c r="S61" s="13" t="n"/>
      <c r="T61" s="11" t="n"/>
      <c r="U61" s="13" t="n"/>
      <c r="V61" s="13">
        <f>IF(COUNTA(N61)&gt;0,SUM(O61,Q61,S61,U61),"")</f>
        <v/>
      </c>
      <c r="W61" s="13" t="n"/>
      <c r="X61" s="13">
        <f>IF(V61&lt;&gt;"",V61-IF(W61&lt;&gt;"",W61,0),"")</f>
        <v/>
      </c>
      <c r="Y61" s="14" t="n"/>
      <c r="Z61" s="11" t="n"/>
      <c r="AA61" s="11" t="n"/>
      <c r="AB61" s="11" t="n"/>
      <c r="AC61" s="10" t="n"/>
      <c r="AD61" s="11" t="n"/>
      <c r="AE61" s="11" t="n"/>
      <c r="AF61" s="11" t="n"/>
      <c r="AG61" s="14" t="n"/>
      <c r="AH61" s="11" t="n"/>
      <c r="AI61" s="14" t="n"/>
      <c r="AJ61" s="13" t="n"/>
      <c r="AK61" s="11" t="n"/>
      <c r="AL61" s="13">
        <f>IF(X61="","",IF(AN61="Received",0,X61-IF(AJ61&lt;&gt;"",AJ61,0)))</f>
        <v/>
      </c>
      <c r="AM61" s="13" t="n"/>
      <c r="AN61" s="11" t="n"/>
      <c r="AO61" s="11" t="n"/>
      <c r="AP61" s="13" t="n"/>
      <c r="AQ61" s="11">
        <f>IF(B61&lt;&gt;"","INV-"&amp;TEXT(ROW()-3,"0000"),"")</f>
        <v/>
      </c>
      <c r="AR61" s="11" t="n"/>
    </row>
    <row r="62">
      <c r="A62" s="7">
        <f>IF(B62&lt;&gt;"",ROW()-3,"")</f>
        <v/>
      </c>
      <c r="B62" s="8" t="n"/>
      <c r="C62" s="9">
        <f>IF(B62&lt;&gt;"","ST-"&amp;TEXT(ROW()-3,"0000"),"")</f>
        <v/>
      </c>
      <c r="D62" s="10" t="n"/>
      <c r="E62" s="11" t="n"/>
      <c r="F62" s="11" t="n"/>
      <c r="G62" s="11" t="n"/>
      <c r="H62" s="10" t="n"/>
      <c r="I62" s="11" t="n"/>
      <c r="J62" s="10" t="n"/>
      <c r="K62" s="10" t="n"/>
      <c r="L62" s="11" t="n"/>
      <c r="M62" s="12" t="n"/>
      <c r="N62" s="11" t="n"/>
      <c r="O62" s="13" t="n"/>
      <c r="P62" s="11" t="n"/>
      <c r="Q62" s="13" t="n"/>
      <c r="R62" s="11" t="n"/>
      <c r="S62" s="13" t="n"/>
      <c r="T62" s="11" t="n"/>
      <c r="U62" s="13" t="n"/>
      <c r="V62" s="13">
        <f>IF(COUNTA(N62)&gt;0,SUM(O62,Q62,S62,U62),"")</f>
        <v/>
      </c>
      <c r="W62" s="13" t="n"/>
      <c r="X62" s="13">
        <f>IF(V62&lt;&gt;"",V62-IF(W62&lt;&gt;"",W62,0),"")</f>
        <v/>
      </c>
      <c r="Y62" s="14" t="n"/>
      <c r="Z62" s="11" t="n"/>
      <c r="AA62" s="11" t="n"/>
      <c r="AB62" s="11" t="n"/>
      <c r="AC62" s="10" t="n"/>
      <c r="AD62" s="11" t="n"/>
      <c r="AE62" s="11" t="n"/>
      <c r="AF62" s="11" t="n"/>
      <c r="AG62" s="14" t="n"/>
      <c r="AH62" s="11" t="n"/>
      <c r="AI62" s="14" t="n"/>
      <c r="AJ62" s="13" t="n"/>
      <c r="AK62" s="11" t="n"/>
      <c r="AL62" s="13">
        <f>IF(X62="","",IF(AN62="Received",0,X62-IF(AJ62&lt;&gt;"",AJ62,0)))</f>
        <v/>
      </c>
      <c r="AM62" s="13" t="n"/>
      <c r="AN62" s="11" t="n"/>
      <c r="AO62" s="11" t="n"/>
      <c r="AP62" s="13" t="n"/>
      <c r="AQ62" s="11">
        <f>IF(B62&lt;&gt;"","INV-"&amp;TEXT(ROW()-3,"0000"),"")</f>
        <v/>
      </c>
      <c r="AR62" s="11" t="n"/>
    </row>
    <row r="63">
      <c r="A63" s="7">
        <f>IF(B63&lt;&gt;"",ROW()-3,"")</f>
        <v/>
      </c>
      <c r="B63" s="8" t="n"/>
      <c r="C63" s="9">
        <f>IF(B63&lt;&gt;"","ST-"&amp;TEXT(ROW()-3,"0000"),"")</f>
        <v/>
      </c>
      <c r="D63" s="10" t="n"/>
      <c r="E63" s="11" t="n"/>
      <c r="F63" s="11" t="n"/>
      <c r="G63" s="11" t="n"/>
      <c r="H63" s="10" t="n"/>
      <c r="I63" s="11" t="n"/>
      <c r="J63" s="10" t="n"/>
      <c r="K63" s="10" t="n"/>
      <c r="L63" s="11" t="n"/>
      <c r="M63" s="12" t="n"/>
      <c r="N63" s="11" t="n"/>
      <c r="O63" s="13" t="n"/>
      <c r="P63" s="11" t="n"/>
      <c r="Q63" s="13" t="n"/>
      <c r="R63" s="11" t="n"/>
      <c r="S63" s="13" t="n"/>
      <c r="T63" s="11" t="n"/>
      <c r="U63" s="13" t="n"/>
      <c r="V63" s="13">
        <f>IF(COUNTA(N63)&gt;0,SUM(O63,Q63,S63,U63),"")</f>
        <v/>
      </c>
      <c r="W63" s="13" t="n"/>
      <c r="X63" s="13">
        <f>IF(V63&lt;&gt;"",V63-IF(W63&lt;&gt;"",W63,0),"")</f>
        <v/>
      </c>
      <c r="Y63" s="14" t="n"/>
      <c r="Z63" s="11" t="n"/>
      <c r="AA63" s="11" t="n"/>
      <c r="AB63" s="11" t="n"/>
      <c r="AC63" s="10" t="n"/>
      <c r="AD63" s="11" t="n"/>
      <c r="AE63" s="11" t="n"/>
      <c r="AF63" s="11" t="n"/>
      <c r="AG63" s="14" t="n"/>
      <c r="AH63" s="11" t="n"/>
      <c r="AI63" s="14" t="n"/>
      <c r="AJ63" s="13" t="n"/>
      <c r="AK63" s="11" t="n"/>
      <c r="AL63" s="13">
        <f>IF(X63="","",IF(AN63="Received",0,X63-IF(AJ63&lt;&gt;"",AJ63,0)))</f>
        <v/>
      </c>
      <c r="AM63" s="13" t="n"/>
      <c r="AN63" s="11" t="n"/>
      <c r="AO63" s="11" t="n"/>
      <c r="AP63" s="13" t="n"/>
      <c r="AQ63" s="11">
        <f>IF(B63&lt;&gt;"","INV-"&amp;TEXT(ROW()-3,"0000"),"")</f>
        <v/>
      </c>
      <c r="AR63" s="11" t="n"/>
    </row>
    <row r="64">
      <c r="A64" s="7">
        <f>IF(B64&lt;&gt;"",ROW()-3,"")</f>
        <v/>
      </c>
      <c r="B64" s="8" t="n"/>
      <c r="C64" s="9">
        <f>IF(B64&lt;&gt;"","ST-"&amp;TEXT(ROW()-3,"0000"),"")</f>
        <v/>
      </c>
      <c r="D64" s="10" t="n"/>
      <c r="E64" s="11" t="n"/>
      <c r="F64" s="11" t="n"/>
      <c r="G64" s="11" t="n"/>
      <c r="H64" s="10" t="n"/>
      <c r="I64" s="11" t="n"/>
      <c r="J64" s="10" t="n"/>
      <c r="K64" s="10" t="n"/>
      <c r="L64" s="11" t="n"/>
      <c r="M64" s="12" t="n"/>
      <c r="N64" s="11" t="n"/>
      <c r="O64" s="13" t="n"/>
      <c r="P64" s="11" t="n"/>
      <c r="Q64" s="13" t="n"/>
      <c r="R64" s="11" t="n"/>
      <c r="S64" s="13" t="n"/>
      <c r="T64" s="11" t="n"/>
      <c r="U64" s="13" t="n"/>
      <c r="V64" s="13">
        <f>IF(COUNTA(N64)&gt;0,SUM(O64,Q64,S64,U64),"")</f>
        <v/>
      </c>
      <c r="W64" s="13" t="n"/>
      <c r="X64" s="13">
        <f>IF(V64&lt;&gt;"",V64-IF(W64&lt;&gt;"",W64,0),"")</f>
        <v/>
      </c>
      <c r="Y64" s="14" t="n"/>
      <c r="Z64" s="11" t="n"/>
      <c r="AA64" s="11" t="n"/>
      <c r="AB64" s="11" t="n"/>
      <c r="AC64" s="10" t="n"/>
      <c r="AD64" s="11" t="n"/>
      <c r="AE64" s="11" t="n"/>
      <c r="AF64" s="11" t="n"/>
      <c r="AG64" s="14" t="n"/>
      <c r="AH64" s="11" t="n"/>
      <c r="AI64" s="14" t="n"/>
      <c r="AJ64" s="13" t="n"/>
      <c r="AK64" s="11" t="n"/>
      <c r="AL64" s="13">
        <f>IF(X64="","",IF(AN64="Received",0,X64-IF(AJ64&lt;&gt;"",AJ64,0)))</f>
        <v/>
      </c>
      <c r="AM64" s="13" t="n"/>
      <c r="AN64" s="11" t="n"/>
      <c r="AO64" s="11" t="n"/>
      <c r="AP64" s="13" t="n"/>
      <c r="AQ64" s="11">
        <f>IF(B64&lt;&gt;"","INV-"&amp;TEXT(ROW()-3,"0000"),"")</f>
        <v/>
      </c>
      <c r="AR64" s="11" t="n"/>
    </row>
    <row r="65">
      <c r="A65" s="7">
        <f>IF(B65&lt;&gt;"",ROW()-3,"")</f>
        <v/>
      </c>
      <c r="B65" s="8" t="n"/>
      <c r="C65" s="9">
        <f>IF(B65&lt;&gt;"","ST-"&amp;TEXT(ROW()-3,"0000"),"")</f>
        <v/>
      </c>
      <c r="D65" s="10" t="n"/>
      <c r="E65" s="11" t="n"/>
      <c r="F65" s="11" t="n"/>
      <c r="G65" s="11" t="n"/>
      <c r="H65" s="10" t="n"/>
      <c r="I65" s="11" t="n"/>
      <c r="J65" s="10" t="n"/>
      <c r="K65" s="10" t="n"/>
      <c r="L65" s="11" t="n"/>
      <c r="M65" s="12" t="n"/>
      <c r="N65" s="11" t="n"/>
      <c r="O65" s="13" t="n"/>
      <c r="P65" s="11" t="n"/>
      <c r="Q65" s="13" t="n"/>
      <c r="R65" s="11" t="n"/>
      <c r="S65" s="13" t="n"/>
      <c r="T65" s="11" t="n"/>
      <c r="U65" s="13" t="n"/>
      <c r="V65" s="13">
        <f>IF(COUNTA(N65)&gt;0,SUM(O65,Q65,S65,U65),"")</f>
        <v/>
      </c>
      <c r="W65" s="13" t="n"/>
      <c r="X65" s="13">
        <f>IF(V65&lt;&gt;"",V65-IF(W65&lt;&gt;"",W65,0),"")</f>
        <v/>
      </c>
      <c r="Y65" s="14" t="n"/>
      <c r="Z65" s="11" t="n"/>
      <c r="AA65" s="11" t="n"/>
      <c r="AB65" s="11" t="n"/>
      <c r="AC65" s="10" t="n"/>
      <c r="AD65" s="11" t="n"/>
      <c r="AE65" s="11" t="n"/>
      <c r="AF65" s="11" t="n"/>
      <c r="AG65" s="14" t="n"/>
      <c r="AH65" s="11" t="n"/>
      <c r="AI65" s="14" t="n"/>
      <c r="AJ65" s="13" t="n"/>
      <c r="AK65" s="11" t="n"/>
      <c r="AL65" s="13">
        <f>IF(X65="","",IF(AN65="Received",0,X65-IF(AJ65&lt;&gt;"",AJ65,0)))</f>
        <v/>
      </c>
      <c r="AM65" s="13" t="n"/>
      <c r="AN65" s="11" t="n"/>
      <c r="AO65" s="11" t="n"/>
      <c r="AP65" s="13" t="n"/>
      <c r="AQ65" s="11">
        <f>IF(B65&lt;&gt;"","INV-"&amp;TEXT(ROW()-3,"0000"),"")</f>
        <v/>
      </c>
      <c r="AR65" s="11" t="n"/>
    </row>
    <row r="66">
      <c r="A66" s="7">
        <f>IF(B66&lt;&gt;"",ROW()-3,"")</f>
        <v/>
      </c>
      <c r="B66" s="8" t="n"/>
      <c r="C66" s="9">
        <f>IF(B66&lt;&gt;"","ST-"&amp;TEXT(ROW()-3,"0000"),"")</f>
        <v/>
      </c>
      <c r="D66" s="10" t="n"/>
      <c r="E66" s="11" t="n"/>
      <c r="F66" s="11" t="n"/>
      <c r="G66" s="11" t="n"/>
      <c r="H66" s="10" t="n"/>
      <c r="I66" s="11" t="n"/>
      <c r="J66" s="10" t="n"/>
      <c r="K66" s="10" t="n"/>
      <c r="L66" s="11" t="n"/>
      <c r="M66" s="12" t="n"/>
      <c r="N66" s="11" t="n"/>
      <c r="O66" s="13" t="n"/>
      <c r="P66" s="11" t="n"/>
      <c r="Q66" s="13" t="n"/>
      <c r="R66" s="11" t="n"/>
      <c r="S66" s="13" t="n"/>
      <c r="T66" s="11" t="n"/>
      <c r="U66" s="13" t="n"/>
      <c r="V66" s="13">
        <f>IF(COUNTA(N66)&gt;0,SUM(O66,Q66,S66,U66),"")</f>
        <v/>
      </c>
      <c r="W66" s="13" t="n"/>
      <c r="X66" s="13">
        <f>IF(V66&lt;&gt;"",V66-IF(W66&lt;&gt;"",W66,0),"")</f>
        <v/>
      </c>
      <c r="Y66" s="14" t="n"/>
      <c r="Z66" s="11" t="n"/>
      <c r="AA66" s="11" t="n"/>
      <c r="AB66" s="11" t="n"/>
      <c r="AC66" s="10" t="n"/>
      <c r="AD66" s="11" t="n"/>
      <c r="AE66" s="11" t="n"/>
      <c r="AF66" s="11" t="n"/>
      <c r="AG66" s="14" t="n"/>
      <c r="AH66" s="11" t="n"/>
      <c r="AI66" s="14" t="n"/>
      <c r="AJ66" s="13" t="n"/>
      <c r="AK66" s="11" t="n"/>
      <c r="AL66" s="13">
        <f>IF(X66="","",IF(AN66="Received",0,X66-IF(AJ66&lt;&gt;"",AJ66,0)))</f>
        <v/>
      </c>
      <c r="AM66" s="13" t="n"/>
      <c r="AN66" s="11" t="n"/>
      <c r="AO66" s="11" t="n"/>
      <c r="AP66" s="13" t="n"/>
      <c r="AQ66" s="11">
        <f>IF(B66&lt;&gt;"","INV-"&amp;TEXT(ROW()-3,"0000"),"")</f>
        <v/>
      </c>
      <c r="AR66" s="11" t="n"/>
    </row>
    <row r="67">
      <c r="A67" s="7">
        <f>IF(B67&lt;&gt;"",ROW()-3,"")</f>
        <v/>
      </c>
      <c r="B67" s="8" t="n"/>
      <c r="C67" s="9">
        <f>IF(B67&lt;&gt;"","ST-"&amp;TEXT(ROW()-3,"0000"),"")</f>
        <v/>
      </c>
      <c r="D67" s="10" t="n"/>
      <c r="E67" s="11" t="n"/>
      <c r="F67" s="11" t="n"/>
      <c r="G67" s="11" t="n"/>
      <c r="H67" s="10" t="n"/>
      <c r="I67" s="11" t="n"/>
      <c r="J67" s="10" t="n"/>
      <c r="K67" s="10" t="n"/>
      <c r="L67" s="11" t="n"/>
      <c r="M67" s="12" t="n"/>
      <c r="N67" s="11" t="n"/>
      <c r="O67" s="13" t="n"/>
      <c r="P67" s="11" t="n"/>
      <c r="Q67" s="13" t="n"/>
      <c r="R67" s="11" t="n"/>
      <c r="S67" s="13" t="n"/>
      <c r="T67" s="11" t="n"/>
      <c r="U67" s="13" t="n"/>
      <c r="V67" s="13">
        <f>IF(COUNTA(N67)&gt;0,SUM(O67,Q67,S67,U67),"")</f>
        <v/>
      </c>
      <c r="W67" s="13" t="n"/>
      <c r="X67" s="13">
        <f>IF(V67&lt;&gt;"",V67-IF(W67&lt;&gt;"",W67,0),"")</f>
        <v/>
      </c>
      <c r="Y67" s="14" t="n"/>
      <c r="Z67" s="11" t="n"/>
      <c r="AA67" s="11" t="n"/>
      <c r="AB67" s="11" t="n"/>
      <c r="AC67" s="10" t="n"/>
      <c r="AD67" s="11" t="n"/>
      <c r="AE67" s="11" t="n"/>
      <c r="AF67" s="11" t="n"/>
      <c r="AG67" s="14" t="n"/>
      <c r="AH67" s="11" t="n"/>
      <c r="AI67" s="14" t="n"/>
      <c r="AJ67" s="13" t="n"/>
      <c r="AK67" s="11" t="n"/>
      <c r="AL67" s="13">
        <f>IF(X67="","",IF(AN67="Received",0,X67-IF(AJ67&lt;&gt;"",AJ67,0)))</f>
        <v/>
      </c>
      <c r="AM67" s="13" t="n"/>
      <c r="AN67" s="11" t="n"/>
      <c r="AO67" s="11" t="n"/>
      <c r="AP67" s="13" t="n"/>
      <c r="AQ67" s="11">
        <f>IF(B67&lt;&gt;"","INV-"&amp;TEXT(ROW()-3,"0000"),"")</f>
        <v/>
      </c>
      <c r="AR67" s="11" t="n"/>
    </row>
    <row r="68">
      <c r="A68" s="7">
        <f>IF(B68&lt;&gt;"",ROW()-3,"")</f>
        <v/>
      </c>
      <c r="B68" s="8" t="n"/>
      <c r="C68" s="9">
        <f>IF(B68&lt;&gt;"","ST-"&amp;TEXT(ROW()-3,"0000"),"")</f>
        <v/>
      </c>
      <c r="D68" s="10" t="n"/>
      <c r="E68" s="11" t="n"/>
      <c r="F68" s="11" t="n"/>
      <c r="G68" s="11" t="n"/>
      <c r="H68" s="10" t="n"/>
      <c r="I68" s="11" t="n"/>
      <c r="J68" s="10" t="n"/>
      <c r="K68" s="10" t="n"/>
      <c r="L68" s="11" t="n"/>
      <c r="M68" s="12" t="n"/>
      <c r="N68" s="11" t="n"/>
      <c r="O68" s="13" t="n"/>
      <c r="P68" s="11" t="n"/>
      <c r="Q68" s="13" t="n"/>
      <c r="R68" s="11" t="n"/>
      <c r="S68" s="13" t="n"/>
      <c r="T68" s="11" t="n"/>
      <c r="U68" s="13" t="n"/>
      <c r="V68" s="13">
        <f>IF(COUNTA(N68)&gt;0,SUM(O68,Q68,S68,U68),"")</f>
        <v/>
      </c>
      <c r="W68" s="13" t="n"/>
      <c r="X68" s="13">
        <f>IF(V68&lt;&gt;"",V68-IF(W68&lt;&gt;"",W68,0),"")</f>
        <v/>
      </c>
      <c r="Y68" s="14" t="n"/>
      <c r="Z68" s="11" t="n"/>
      <c r="AA68" s="11" t="n"/>
      <c r="AB68" s="11" t="n"/>
      <c r="AC68" s="10" t="n"/>
      <c r="AD68" s="11" t="n"/>
      <c r="AE68" s="11" t="n"/>
      <c r="AF68" s="11" t="n"/>
      <c r="AG68" s="14" t="n"/>
      <c r="AH68" s="11" t="n"/>
      <c r="AI68" s="14" t="n"/>
      <c r="AJ68" s="13" t="n"/>
      <c r="AK68" s="11" t="n"/>
      <c r="AL68" s="13">
        <f>IF(X68="","",IF(AN68="Received",0,X68-IF(AJ68&lt;&gt;"",AJ68,0)))</f>
        <v/>
      </c>
      <c r="AM68" s="13" t="n"/>
      <c r="AN68" s="11" t="n"/>
      <c r="AO68" s="11" t="n"/>
      <c r="AP68" s="13" t="n"/>
      <c r="AQ68" s="11">
        <f>IF(B68&lt;&gt;"","INV-"&amp;TEXT(ROW()-3,"0000"),"")</f>
        <v/>
      </c>
      <c r="AR68" s="11" t="n"/>
    </row>
    <row r="69">
      <c r="A69" s="7">
        <f>IF(B69&lt;&gt;"",ROW()-3,"")</f>
        <v/>
      </c>
      <c r="B69" s="8" t="n"/>
      <c r="C69" s="9">
        <f>IF(B69&lt;&gt;"","ST-"&amp;TEXT(ROW()-3,"0000"),"")</f>
        <v/>
      </c>
      <c r="D69" s="10" t="n"/>
      <c r="E69" s="11" t="n"/>
      <c r="F69" s="11" t="n"/>
      <c r="G69" s="11" t="n"/>
      <c r="H69" s="10" t="n"/>
      <c r="I69" s="11" t="n"/>
      <c r="J69" s="10" t="n"/>
      <c r="K69" s="10" t="n"/>
      <c r="L69" s="11" t="n"/>
      <c r="M69" s="12" t="n"/>
      <c r="N69" s="11" t="n"/>
      <c r="O69" s="13" t="n"/>
      <c r="P69" s="11" t="n"/>
      <c r="Q69" s="13" t="n"/>
      <c r="R69" s="11" t="n"/>
      <c r="S69" s="13" t="n"/>
      <c r="T69" s="11" t="n"/>
      <c r="U69" s="13" t="n"/>
      <c r="V69" s="13">
        <f>IF(COUNTA(N69)&gt;0,SUM(O69,Q69,S69,U69),"")</f>
        <v/>
      </c>
      <c r="W69" s="13" t="n"/>
      <c r="X69" s="13">
        <f>IF(V69&lt;&gt;"",V69-IF(W69&lt;&gt;"",W69,0),"")</f>
        <v/>
      </c>
      <c r="Y69" s="14" t="n"/>
      <c r="Z69" s="11" t="n"/>
      <c r="AA69" s="11" t="n"/>
      <c r="AB69" s="11" t="n"/>
      <c r="AC69" s="10" t="n"/>
      <c r="AD69" s="11" t="n"/>
      <c r="AE69" s="11" t="n"/>
      <c r="AF69" s="11" t="n"/>
      <c r="AG69" s="14" t="n"/>
      <c r="AH69" s="11" t="n"/>
      <c r="AI69" s="14" t="n"/>
      <c r="AJ69" s="13" t="n"/>
      <c r="AK69" s="11" t="n"/>
      <c r="AL69" s="13">
        <f>IF(X69="","",IF(AN69="Received",0,X69-IF(AJ69&lt;&gt;"",AJ69,0)))</f>
        <v/>
      </c>
      <c r="AM69" s="13" t="n"/>
      <c r="AN69" s="11" t="n"/>
      <c r="AO69" s="11" t="n"/>
      <c r="AP69" s="13" t="n"/>
      <c r="AQ69" s="11">
        <f>IF(B69&lt;&gt;"","INV-"&amp;TEXT(ROW()-3,"0000"),"")</f>
        <v/>
      </c>
      <c r="AR69" s="11" t="n"/>
    </row>
    <row r="70">
      <c r="A70" s="7">
        <f>IF(B70&lt;&gt;"",ROW()-3,"")</f>
        <v/>
      </c>
      <c r="B70" s="8" t="n"/>
      <c r="C70" s="9">
        <f>IF(B70&lt;&gt;"","ST-"&amp;TEXT(ROW()-3,"0000"),"")</f>
        <v/>
      </c>
      <c r="D70" s="10" t="n"/>
      <c r="E70" s="11" t="n"/>
      <c r="F70" s="11" t="n"/>
      <c r="G70" s="11" t="n"/>
      <c r="H70" s="10" t="n"/>
      <c r="I70" s="11" t="n"/>
      <c r="J70" s="10" t="n"/>
      <c r="K70" s="10" t="n"/>
      <c r="L70" s="11" t="n"/>
      <c r="M70" s="12" t="n"/>
      <c r="N70" s="11" t="n"/>
      <c r="O70" s="13" t="n"/>
      <c r="P70" s="11" t="n"/>
      <c r="Q70" s="13" t="n"/>
      <c r="R70" s="11" t="n"/>
      <c r="S70" s="13" t="n"/>
      <c r="T70" s="11" t="n"/>
      <c r="U70" s="13" t="n"/>
      <c r="V70" s="13">
        <f>IF(COUNTA(N70)&gt;0,SUM(O70,Q70,S70,U70),"")</f>
        <v/>
      </c>
      <c r="W70" s="13" t="n"/>
      <c r="X70" s="13">
        <f>IF(V70&lt;&gt;"",V70-IF(W70&lt;&gt;"",W70,0),"")</f>
        <v/>
      </c>
      <c r="Y70" s="14" t="n"/>
      <c r="Z70" s="11" t="n"/>
      <c r="AA70" s="11" t="n"/>
      <c r="AB70" s="11" t="n"/>
      <c r="AC70" s="10" t="n"/>
      <c r="AD70" s="11" t="n"/>
      <c r="AE70" s="11" t="n"/>
      <c r="AF70" s="11" t="n"/>
      <c r="AG70" s="14" t="n"/>
      <c r="AH70" s="11" t="n"/>
      <c r="AI70" s="14" t="n"/>
      <c r="AJ70" s="13" t="n"/>
      <c r="AK70" s="11" t="n"/>
      <c r="AL70" s="13">
        <f>IF(X70="","",IF(AN70="Received",0,X70-IF(AJ70&lt;&gt;"",AJ70,0)))</f>
        <v/>
      </c>
      <c r="AM70" s="13" t="n"/>
      <c r="AN70" s="11" t="n"/>
      <c r="AO70" s="11" t="n"/>
      <c r="AP70" s="13" t="n"/>
      <c r="AQ70" s="11">
        <f>IF(B70&lt;&gt;"","INV-"&amp;TEXT(ROW()-3,"0000"),"")</f>
        <v/>
      </c>
      <c r="AR70" s="11" t="n"/>
    </row>
    <row r="71">
      <c r="A71" s="7">
        <f>IF(B71&lt;&gt;"",ROW()-3,"")</f>
        <v/>
      </c>
      <c r="B71" s="8" t="n"/>
      <c r="C71" s="9">
        <f>IF(B71&lt;&gt;"","ST-"&amp;TEXT(ROW()-3,"0000"),"")</f>
        <v/>
      </c>
      <c r="D71" s="10" t="n"/>
      <c r="E71" s="11" t="n"/>
      <c r="F71" s="11" t="n"/>
      <c r="G71" s="11" t="n"/>
      <c r="H71" s="10" t="n"/>
      <c r="I71" s="11" t="n"/>
      <c r="J71" s="10" t="n"/>
      <c r="K71" s="10" t="n"/>
      <c r="L71" s="11" t="n"/>
      <c r="M71" s="12" t="n"/>
      <c r="N71" s="11" t="n"/>
      <c r="O71" s="13" t="n"/>
      <c r="P71" s="11" t="n"/>
      <c r="Q71" s="13" t="n"/>
      <c r="R71" s="11" t="n"/>
      <c r="S71" s="13" t="n"/>
      <c r="T71" s="11" t="n"/>
      <c r="U71" s="13" t="n"/>
      <c r="V71" s="13">
        <f>IF(COUNTA(N71)&gt;0,SUM(O71,Q71,S71,U71),"")</f>
        <v/>
      </c>
      <c r="W71" s="13" t="n"/>
      <c r="X71" s="13">
        <f>IF(V71&lt;&gt;"",V71-IF(W71&lt;&gt;"",W71,0),"")</f>
        <v/>
      </c>
      <c r="Y71" s="14" t="n"/>
      <c r="Z71" s="11" t="n"/>
      <c r="AA71" s="11" t="n"/>
      <c r="AB71" s="11" t="n"/>
      <c r="AC71" s="10" t="n"/>
      <c r="AD71" s="11" t="n"/>
      <c r="AE71" s="11" t="n"/>
      <c r="AF71" s="11" t="n"/>
      <c r="AG71" s="14" t="n"/>
      <c r="AH71" s="11" t="n"/>
      <c r="AI71" s="14" t="n"/>
      <c r="AJ71" s="13" t="n"/>
      <c r="AK71" s="11" t="n"/>
      <c r="AL71" s="13">
        <f>IF(X71="","",IF(AN71="Received",0,X71-IF(AJ71&lt;&gt;"",AJ71,0)))</f>
        <v/>
      </c>
      <c r="AM71" s="13" t="n"/>
      <c r="AN71" s="11" t="n"/>
      <c r="AO71" s="11" t="n"/>
      <c r="AP71" s="13" t="n"/>
      <c r="AQ71" s="11">
        <f>IF(B71&lt;&gt;"","INV-"&amp;TEXT(ROW()-3,"0000"),"")</f>
        <v/>
      </c>
      <c r="AR71" s="11" t="n"/>
    </row>
    <row r="72">
      <c r="A72" s="7">
        <f>IF(B72&lt;&gt;"",ROW()-3,"")</f>
        <v/>
      </c>
      <c r="B72" s="8" t="n"/>
      <c r="C72" s="9">
        <f>IF(B72&lt;&gt;"","ST-"&amp;TEXT(ROW()-3,"0000"),"")</f>
        <v/>
      </c>
      <c r="D72" s="10" t="n"/>
      <c r="E72" s="11" t="n"/>
      <c r="F72" s="11" t="n"/>
      <c r="G72" s="11" t="n"/>
      <c r="H72" s="10" t="n"/>
      <c r="I72" s="11" t="n"/>
      <c r="J72" s="10" t="n"/>
      <c r="K72" s="10" t="n"/>
      <c r="L72" s="11" t="n"/>
      <c r="M72" s="12" t="n"/>
      <c r="N72" s="11" t="n"/>
      <c r="O72" s="13" t="n"/>
      <c r="P72" s="11" t="n"/>
      <c r="Q72" s="13" t="n"/>
      <c r="R72" s="11" t="n"/>
      <c r="S72" s="13" t="n"/>
      <c r="T72" s="11" t="n"/>
      <c r="U72" s="13" t="n"/>
      <c r="V72" s="13">
        <f>IF(COUNTA(N72)&gt;0,SUM(O72,Q72,S72,U72),"")</f>
        <v/>
      </c>
      <c r="W72" s="13" t="n"/>
      <c r="X72" s="13">
        <f>IF(V72&lt;&gt;"",V72-IF(W72&lt;&gt;"",W72,0),"")</f>
        <v/>
      </c>
      <c r="Y72" s="14" t="n"/>
      <c r="Z72" s="11" t="n"/>
      <c r="AA72" s="11" t="n"/>
      <c r="AB72" s="11" t="n"/>
      <c r="AC72" s="10" t="n"/>
      <c r="AD72" s="11" t="n"/>
      <c r="AE72" s="11" t="n"/>
      <c r="AF72" s="11" t="n"/>
      <c r="AG72" s="14" t="n"/>
      <c r="AH72" s="11" t="n"/>
      <c r="AI72" s="14" t="n"/>
      <c r="AJ72" s="13" t="n"/>
      <c r="AK72" s="11" t="n"/>
      <c r="AL72" s="13">
        <f>IF(X72="","",IF(AN72="Received",0,X72-IF(AJ72&lt;&gt;"",AJ72,0)))</f>
        <v/>
      </c>
      <c r="AM72" s="13" t="n"/>
      <c r="AN72" s="11" t="n"/>
      <c r="AO72" s="11" t="n"/>
      <c r="AP72" s="13" t="n"/>
      <c r="AQ72" s="11">
        <f>IF(B72&lt;&gt;"","INV-"&amp;TEXT(ROW()-3,"0000"),"")</f>
        <v/>
      </c>
      <c r="AR72" s="11" t="n"/>
    </row>
    <row r="73">
      <c r="A73" s="7">
        <f>IF(B73&lt;&gt;"",ROW()-3,"")</f>
        <v/>
      </c>
      <c r="B73" s="8" t="n"/>
      <c r="C73" s="9">
        <f>IF(B73&lt;&gt;"","ST-"&amp;TEXT(ROW()-3,"0000"),"")</f>
        <v/>
      </c>
      <c r="D73" s="10" t="n"/>
      <c r="E73" s="11" t="n"/>
      <c r="F73" s="11" t="n"/>
      <c r="G73" s="11" t="n"/>
      <c r="H73" s="10" t="n"/>
      <c r="I73" s="11" t="n"/>
      <c r="J73" s="10" t="n"/>
      <c r="K73" s="10" t="n"/>
      <c r="L73" s="11" t="n"/>
      <c r="M73" s="12" t="n"/>
      <c r="N73" s="11" t="n"/>
      <c r="O73" s="13" t="n"/>
      <c r="P73" s="11" t="n"/>
      <c r="Q73" s="13" t="n"/>
      <c r="R73" s="11" t="n"/>
      <c r="S73" s="13" t="n"/>
      <c r="T73" s="11" t="n"/>
      <c r="U73" s="13" t="n"/>
      <c r="V73" s="13">
        <f>IF(COUNTA(N73)&gt;0,SUM(O73,Q73,S73,U73),"")</f>
        <v/>
      </c>
      <c r="W73" s="13" t="n"/>
      <c r="X73" s="13">
        <f>IF(V73&lt;&gt;"",V73-IF(W73&lt;&gt;"",W73,0),"")</f>
        <v/>
      </c>
      <c r="Y73" s="14" t="n"/>
      <c r="Z73" s="11" t="n"/>
      <c r="AA73" s="11" t="n"/>
      <c r="AB73" s="11" t="n"/>
      <c r="AC73" s="10" t="n"/>
      <c r="AD73" s="11" t="n"/>
      <c r="AE73" s="11" t="n"/>
      <c r="AF73" s="11" t="n"/>
      <c r="AG73" s="14" t="n"/>
      <c r="AH73" s="11" t="n"/>
      <c r="AI73" s="14" t="n"/>
      <c r="AJ73" s="13" t="n"/>
      <c r="AK73" s="11" t="n"/>
      <c r="AL73" s="13">
        <f>IF(X73="","",IF(AN73="Received",0,X73-IF(AJ73&lt;&gt;"",AJ73,0)))</f>
        <v/>
      </c>
      <c r="AM73" s="13" t="n"/>
      <c r="AN73" s="11" t="n"/>
      <c r="AO73" s="11" t="n"/>
      <c r="AP73" s="13" t="n"/>
      <c r="AQ73" s="11">
        <f>IF(B73&lt;&gt;"","INV-"&amp;TEXT(ROW()-3,"0000"),"")</f>
        <v/>
      </c>
      <c r="AR73" s="11" t="n"/>
    </row>
    <row r="74">
      <c r="A74" s="7">
        <f>IF(B74&lt;&gt;"",ROW()-3,"")</f>
        <v/>
      </c>
      <c r="B74" s="8" t="n"/>
      <c r="C74" s="9">
        <f>IF(B74&lt;&gt;"","ST-"&amp;TEXT(ROW()-3,"0000"),"")</f>
        <v/>
      </c>
      <c r="D74" s="10" t="n"/>
      <c r="E74" s="11" t="n"/>
      <c r="F74" s="11" t="n"/>
      <c r="G74" s="11" t="n"/>
      <c r="H74" s="10" t="n"/>
      <c r="I74" s="11" t="n"/>
      <c r="J74" s="10" t="n"/>
      <c r="K74" s="10" t="n"/>
      <c r="L74" s="11" t="n"/>
      <c r="M74" s="12" t="n"/>
      <c r="N74" s="11" t="n"/>
      <c r="O74" s="13" t="n"/>
      <c r="P74" s="11" t="n"/>
      <c r="Q74" s="13" t="n"/>
      <c r="R74" s="11" t="n"/>
      <c r="S74" s="13" t="n"/>
      <c r="T74" s="11" t="n"/>
      <c r="U74" s="13" t="n"/>
      <c r="V74" s="13">
        <f>IF(COUNTA(N74)&gt;0,SUM(O74,Q74,S74,U74),"")</f>
        <v/>
      </c>
      <c r="W74" s="13" t="n"/>
      <c r="X74" s="13">
        <f>IF(V74&lt;&gt;"",V74-IF(W74&lt;&gt;"",W74,0),"")</f>
        <v/>
      </c>
      <c r="Y74" s="14" t="n"/>
      <c r="Z74" s="11" t="n"/>
      <c r="AA74" s="11" t="n"/>
      <c r="AB74" s="11" t="n"/>
      <c r="AC74" s="10" t="n"/>
      <c r="AD74" s="11" t="n"/>
      <c r="AE74" s="11" t="n"/>
      <c r="AF74" s="11" t="n"/>
      <c r="AG74" s="14" t="n"/>
      <c r="AH74" s="11" t="n"/>
      <c r="AI74" s="14" t="n"/>
      <c r="AJ74" s="13" t="n"/>
      <c r="AK74" s="11" t="n"/>
      <c r="AL74" s="13">
        <f>IF(X74="","",IF(AN74="Received",0,X74-IF(AJ74&lt;&gt;"",AJ74,0)))</f>
        <v/>
      </c>
      <c r="AM74" s="13" t="n"/>
      <c r="AN74" s="11" t="n"/>
      <c r="AO74" s="11" t="n"/>
      <c r="AP74" s="13" t="n"/>
      <c r="AQ74" s="11">
        <f>IF(B74&lt;&gt;"","INV-"&amp;TEXT(ROW()-3,"0000"),"")</f>
        <v/>
      </c>
      <c r="AR74" s="11" t="n"/>
    </row>
    <row r="75">
      <c r="A75" s="7">
        <f>IF(B75&lt;&gt;"",ROW()-3,"")</f>
        <v/>
      </c>
      <c r="B75" s="8" t="n"/>
      <c r="C75" s="9">
        <f>IF(B75&lt;&gt;"","ST-"&amp;TEXT(ROW()-3,"0000"),"")</f>
        <v/>
      </c>
      <c r="D75" s="10" t="n"/>
      <c r="E75" s="11" t="n"/>
      <c r="F75" s="11" t="n"/>
      <c r="G75" s="11" t="n"/>
      <c r="H75" s="10" t="n"/>
      <c r="I75" s="11" t="n"/>
      <c r="J75" s="10" t="n"/>
      <c r="K75" s="10" t="n"/>
      <c r="L75" s="11" t="n"/>
      <c r="M75" s="12" t="n"/>
      <c r="N75" s="11" t="n"/>
      <c r="O75" s="13" t="n"/>
      <c r="P75" s="11" t="n"/>
      <c r="Q75" s="13" t="n"/>
      <c r="R75" s="11" t="n"/>
      <c r="S75" s="13" t="n"/>
      <c r="T75" s="11" t="n"/>
      <c r="U75" s="13" t="n"/>
      <c r="V75" s="13">
        <f>IF(COUNTA(N75)&gt;0,SUM(O75,Q75,S75,U75),"")</f>
        <v/>
      </c>
      <c r="W75" s="13" t="n"/>
      <c r="X75" s="13">
        <f>IF(V75&lt;&gt;"",V75-IF(W75&lt;&gt;"",W75,0),"")</f>
        <v/>
      </c>
      <c r="Y75" s="14" t="n"/>
      <c r="Z75" s="11" t="n"/>
      <c r="AA75" s="11" t="n"/>
      <c r="AB75" s="11" t="n"/>
      <c r="AC75" s="10" t="n"/>
      <c r="AD75" s="11" t="n"/>
      <c r="AE75" s="11" t="n"/>
      <c r="AF75" s="11" t="n"/>
      <c r="AG75" s="14" t="n"/>
      <c r="AH75" s="11" t="n"/>
      <c r="AI75" s="14" t="n"/>
      <c r="AJ75" s="13" t="n"/>
      <c r="AK75" s="11" t="n"/>
      <c r="AL75" s="13">
        <f>IF(X75="","",IF(AN75="Received",0,X75-IF(AJ75&lt;&gt;"",AJ75,0)))</f>
        <v/>
      </c>
      <c r="AM75" s="13" t="n"/>
      <c r="AN75" s="11" t="n"/>
      <c r="AO75" s="11" t="n"/>
      <c r="AP75" s="13" t="n"/>
      <c r="AQ75" s="11">
        <f>IF(B75&lt;&gt;"","INV-"&amp;TEXT(ROW()-3,"0000"),"")</f>
        <v/>
      </c>
      <c r="AR75" s="11" t="n"/>
    </row>
    <row r="76">
      <c r="A76" s="7">
        <f>IF(B76&lt;&gt;"",ROW()-3,"")</f>
        <v/>
      </c>
      <c r="B76" s="8" t="n"/>
      <c r="C76" s="9">
        <f>IF(B76&lt;&gt;"","ST-"&amp;TEXT(ROW()-3,"0000"),"")</f>
        <v/>
      </c>
      <c r="D76" s="10" t="n"/>
      <c r="E76" s="11" t="n"/>
      <c r="F76" s="11" t="n"/>
      <c r="G76" s="11" t="n"/>
      <c r="H76" s="10" t="n"/>
      <c r="I76" s="11" t="n"/>
      <c r="J76" s="10" t="n"/>
      <c r="K76" s="10" t="n"/>
      <c r="L76" s="11" t="n"/>
      <c r="M76" s="12" t="n"/>
      <c r="N76" s="11" t="n"/>
      <c r="O76" s="13" t="n"/>
      <c r="P76" s="11" t="n"/>
      <c r="Q76" s="13" t="n"/>
      <c r="R76" s="11" t="n"/>
      <c r="S76" s="13" t="n"/>
      <c r="T76" s="11" t="n"/>
      <c r="U76" s="13" t="n"/>
      <c r="V76" s="13">
        <f>IF(COUNTA(N76)&gt;0,SUM(O76,Q76,S76,U76),"")</f>
        <v/>
      </c>
      <c r="W76" s="13" t="n"/>
      <c r="X76" s="13">
        <f>IF(V76&lt;&gt;"",V76-IF(W76&lt;&gt;"",W76,0),"")</f>
        <v/>
      </c>
      <c r="Y76" s="14" t="n"/>
      <c r="Z76" s="11" t="n"/>
      <c r="AA76" s="11" t="n"/>
      <c r="AB76" s="11" t="n"/>
      <c r="AC76" s="10" t="n"/>
      <c r="AD76" s="11" t="n"/>
      <c r="AE76" s="11" t="n"/>
      <c r="AF76" s="11" t="n"/>
      <c r="AG76" s="14" t="n"/>
      <c r="AH76" s="11" t="n"/>
      <c r="AI76" s="14" t="n"/>
      <c r="AJ76" s="13" t="n"/>
      <c r="AK76" s="11" t="n"/>
      <c r="AL76" s="13">
        <f>IF(X76="","",IF(AN76="Received",0,X76-IF(AJ76&lt;&gt;"",AJ76,0)))</f>
        <v/>
      </c>
      <c r="AM76" s="13" t="n"/>
      <c r="AN76" s="11" t="n"/>
      <c r="AO76" s="11" t="n"/>
      <c r="AP76" s="13" t="n"/>
      <c r="AQ76" s="11">
        <f>IF(B76&lt;&gt;"","INV-"&amp;TEXT(ROW()-3,"0000"),"")</f>
        <v/>
      </c>
      <c r="AR76" s="11" t="n"/>
    </row>
    <row r="77">
      <c r="A77" s="7">
        <f>IF(B77&lt;&gt;"",ROW()-3,"")</f>
        <v/>
      </c>
      <c r="B77" s="8" t="n"/>
      <c r="C77" s="9">
        <f>IF(B77&lt;&gt;"","ST-"&amp;TEXT(ROW()-3,"0000"),"")</f>
        <v/>
      </c>
      <c r="D77" s="10" t="n"/>
      <c r="E77" s="11" t="n"/>
      <c r="F77" s="11" t="n"/>
      <c r="G77" s="11" t="n"/>
      <c r="H77" s="10" t="n"/>
      <c r="I77" s="11" t="n"/>
      <c r="J77" s="10" t="n"/>
      <c r="K77" s="10" t="n"/>
      <c r="L77" s="11" t="n"/>
      <c r="M77" s="12" t="n"/>
      <c r="N77" s="11" t="n"/>
      <c r="O77" s="13" t="n"/>
      <c r="P77" s="11" t="n"/>
      <c r="Q77" s="13" t="n"/>
      <c r="R77" s="11" t="n"/>
      <c r="S77" s="13" t="n"/>
      <c r="T77" s="11" t="n"/>
      <c r="U77" s="13" t="n"/>
      <c r="V77" s="13">
        <f>IF(COUNTA(N77)&gt;0,SUM(O77,Q77,S77,U77),"")</f>
        <v/>
      </c>
      <c r="W77" s="13" t="n"/>
      <c r="X77" s="13">
        <f>IF(V77&lt;&gt;"",V77-IF(W77&lt;&gt;"",W77,0),"")</f>
        <v/>
      </c>
      <c r="Y77" s="14" t="n"/>
      <c r="Z77" s="11" t="n"/>
      <c r="AA77" s="11" t="n"/>
      <c r="AB77" s="11" t="n"/>
      <c r="AC77" s="10" t="n"/>
      <c r="AD77" s="11" t="n"/>
      <c r="AE77" s="11" t="n"/>
      <c r="AF77" s="11" t="n"/>
      <c r="AG77" s="14" t="n"/>
      <c r="AH77" s="11" t="n"/>
      <c r="AI77" s="14" t="n"/>
      <c r="AJ77" s="13" t="n"/>
      <c r="AK77" s="11" t="n"/>
      <c r="AL77" s="13">
        <f>IF(X77="","",IF(AN77="Received",0,X77-IF(AJ77&lt;&gt;"",AJ77,0)))</f>
        <v/>
      </c>
      <c r="AM77" s="13" t="n"/>
      <c r="AN77" s="11" t="n"/>
      <c r="AO77" s="11" t="n"/>
      <c r="AP77" s="13" t="n"/>
      <c r="AQ77" s="11">
        <f>IF(B77&lt;&gt;"","INV-"&amp;TEXT(ROW()-3,"0000"),"")</f>
        <v/>
      </c>
      <c r="AR77" s="11" t="n"/>
    </row>
    <row r="78">
      <c r="A78" s="7">
        <f>IF(B78&lt;&gt;"",ROW()-3,"")</f>
        <v/>
      </c>
      <c r="B78" s="8" t="n"/>
      <c r="C78" s="9">
        <f>IF(B78&lt;&gt;"","ST-"&amp;TEXT(ROW()-3,"0000"),"")</f>
        <v/>
      </c>
      <c r="D78" s="10" t="n"/>
      <c r="E78" s="11" t="n"/>
      <c r="F78" s="11" t="n"/>
      <c r="G78" s="11" t="n"/>
      <c r="H78" s="10" t="n"/>
      <c r="I78" s="11" t="n"/>
      <c r="J78" s="10" t="n"/>
      <c r="K78" s="10" t="n"/>
      <c r="L78" s="11" t="n"/>
      <c r="M78" s="12" t="n"/>
      <c r="N78" s="11" t="n"/>
      <c r="O78" s="13" t="n"/>
      <c r="P78" s="11" t="n"/>
      <c r="Q78" s="13" t="n"/>
      <c r="R78" s="11" t="n"/>
      <c r="S78" s="13" t="n"/>
      <c r="T78" s="11" t="n"/>
      <c r="U78" s="13" t="n"/>
      <c r="V78" s="13">
        <f>IF(COUNTA(N78)&gt;0,SUM(O78,Q78,S78,U78),"")</f>
        <v/>
      </c>
      <c r="W78" s="13" t="n"/>
      <c r="X78" s="13">
        <f>IF(V78&lt;&gt;"",V78-IF(W78&lt;&gt;"",W78,0),"")</f>
        <v/>
      </c>
      <c r="Y78" s="14" t="n"/>
      <c r="Z78" s="11" t="n"/>
      <c r="AA78" s="11" t="n"/>
      <c r="AB78" s="11" t="n"/>
      <c r="AC78" s="10" t="n"/>
      <c r="AD78" s="11" t="n"/>
      <c r="AE78" s="11" t="n"/>
      <c r="AF78" s="11" t="n"/>
      <c r="AG78" s="14" t="n"/>
      <c r="AH78" s="11" t="n"/>
      <c r="AI78" s="14" t="n"/>
      <c r="AJ78" s="13" t="n"/>
      <c r="AK78" s="11" t="n"/>
      <c r="AL78" s="13">
        <f>IF(X78="","",IF(AN78="Received",0,X78-IF(AJ78&lt;&gt;"",AJ78,0)))</f>
        <v/>
      </c>
      <c r="AM78" s="13" t="n"/>
      <c r="AN78" s="11" t="n"/>
      <c r="AO78" s="11" t="n"/>
      <c r="AP78" s="13" t="n"/>
      <c r="AQ78" s="11">
        <f>IF(B78&lt;&gt;"","INV-"&amp;TEXT(ROW()-3,"0000"),"")</f>
        <v/>
      </c>
      <c r="AR78" s="11" t="n"/>
    </row>
    <row r="79">
      <c r="A79" s="7">
        <f>IF(B79&lt;&gt;"",ROW()-3,"")</f>
        <v/>
      </c>
      <c r="B79" s="8" t="n"/>
      <c r="C79" s="9">
        <f>IF(B79&lt;&gt;"","ST-"&amp;TEXT(ROW()-3,"0000"),"")</f>
        <v/>
      </c>
      <c r="D79" s="10" t="n"/>
      <c r="E79" s="11" t="n"/>
      <c r="F79" s="11" t="n"/>
      <c r="G79" s="11" t="n"/>
      <c r="H79" s="10" t="n"/>
      <c r="I79" s="11" t="n"/>
      <c r="J79" s="10" t="n"/>
      <c r="K79" s="10" t="n"/>
      <c r="L79" s="11" t="n"/>
      <c r="M79" s="12" t="n"/>
      <c r="N79" s="11" t="n"/>
      <c r="O79" s="13" t="n"/>
      <c r="P79" s="11" t="n"/>
      <c r="Q79" s="13" t="n"/>
      <c r="R79" s="11" t="n"/>
      <c r="S79" s="13" t="n"/>
      <c r="T79" s="11" t="n"/>
      <c r="U79" s="13" t="n"/>
      <c r="V79" s="13">
        <f>IF(COUNTA(N79)&gt;0,SUM(O79,Q79,S79,U79),"")</f>
        <v/>
      </c>
      <c r="W79" s="13" t="n"/>
      <c r="X79" s="13">
        <f>IF(V79&lt;&gt;"",V79-IF(W79&lt;&gt;"",W79,0),"")</f>
        <v/>
      </c>
      <c r="Y79" s="14" t="n"/>
      <c r="Z79" s="11" t="n"/>
      <c r="AA79" s="11" t="n"/>
      <c r="AB79" s="11" t="n"/>
      <c r="AC79" s="10" t="n"/>
      <c r="AD79" s="11" t="n"/>
      <c r="AE79" s="11" t="n"/>
      <c r="AF79" s="11" t="n"/>
      <c r="AG79" s="14" t="n"/>
      <c r="AH79" s="11" t="n"/>
      <c r="AI79" s="14" t="n"/>
      <c r="AJ79" s="13" t="n"/>
      <c r="AK79" s="11" t="n"/>
      <c r="AL79" s="13">
        <f>IF(X79="","",IF(AN79="Received",0,X79-IF(AJ79&lt;&gt;"",AJ79,0)))</f>
        <v/>
      </c>
      <c r="AM79" s="13" t="n"/>
      <c r="AN79" s="11" t="n"/>
      <c r="AO79" s="11" t="n"/>
      <c r="AP79" s="13" t="n"/>
      <c r="AQ79" s="11">
        <f>IF(B79&lt;&gt;"","INV-"&amp;TEXT(ROW()-3,"0000"),"")</f>
        <v/>
      </c>
      <c r="AR79" s="11" t="n"/>
    </row>
    <row r="80">
      <c r="A80" s="7">
        <f>IF(B80&lt;&gt;"",ROW()-3,"")</f>
        <v/>
      </c>
      <c r="B80" s="8" t="n"/>
      <c r="C80" s="9">
        <f>IF(B80&lt;&gt;"","ST-"&amp;TEXT(ROW()-3,"0000"),"")</f>
        <v/>
      </c>
      <c r="D80" s="10" t="n"/>
      <c r="E80" s="11" t="n"/>
      <c r="F80" s="11" t="n"/>
      <c r="G80" s="11" t="n"/>
      <c r="H80" s="10" t="n"/>
      <c r="I80" s="11" t="n"/>
      <c r="J80" s="10" t="n"/>
      <c r="K80" s="10" t="n"/>
      <c r="L80" s="11" t="n"/>
      <c r="M80" s="12" t="n"/>
      <c r="N80" s="11" t="n"/>
      <c r="O80" s="13" t="n"/>
      <c r="P80" s="11" t="n"/>
      <c r="Q80" s="13" t="n"/>
      <c r="R80" s="11" t="n"/>
      <c r="S80" s="13" t="n"/>
      <c r="T80" s="11" t="n"/>
      <c r="U80" s="13" t="n"/>
      <c r="V80" s="13">
        <f>IF(COUNTA(N80)&gt;0,SUM(O80,Q80,S80,U80),"")</f>
        <v/>
      </c>
      <c r="W80" s="13" t="n"/>
      <c r="X80" s="13">
        <f>IF(V80&lt;&gt;"",V80-IF(W80&lt;&gt;"",W80,0),"")</f>
        <v/>
      </c>
      <c r="Y80" s="14" t="n"/>
      <c r="Z80" s="11" t="n"/>
      <c r="AA80" s="11" t="n"/>
      <c r="AB80" s="11" t="n"/>
      <c r="AC80" s="10" t="n"/>
      <c r="AD80" s="11" t="n"/>
      <c r="AE80" s="11" t="n"/>
      <c r="AF80" s="11" t="n"/>
      <c r="AG80" s="14" t="n"/>
      <c r="AH80" s="11" t="n"/>
      <c r="AI80" s="14" t="n"/>
      <c r="AJ80" s="13" t="n"/>
      <c r="AK80" s="11" t="n"/>
      <c r="AL80" s="13">
        <f>IF(X80="","",IF(AN80="Received",0,X80-IF(AJ80&lt;&gt;"",AJ80,0)))</f>
        <v/>
      </c>
      <c r="AM80" s="13" t="n"/>
      <c r="AN80" s="11" t="n"/>
      <c r="AO80" s="11" t="n"/>
      <c r="AP80" s="13" t="n"/>
      <c r="AQ80" s="11">
        <f>IF(B80&lt;&gt;"","INV-"&amp;TEXT(ROW()-3,"0000"),"")</f>
        <v/>
      </c>
      <c r="AR80" s="11" t="n"/>
    </row>
    <row r="81">
      <c r="A81" s="7">
        <f>IF(B81&lt;&gt;"",ROW()-3,"")</f>
        <v/>
      </c>
      <c r="B81" s="8" t="n"/>
      <c r="C81" s="9">
        <f>IF(B81&lt;&gt;"","ST-"&amp;TEXT(ROW()-3,"0000"),"")</f>
        <v/>
      </c>
      <c r="D81" s="10" t="n"/>
      <c r="E81" s="11" t="n"/>
      <c r="F81" s="11" t="n"/>
      <c r="G81" s="11" t="n"/>
      <c r="H81" s="10" t="n"/>
      <c r="I81" s="11" t="n"/>
      <c r="J81" s="10" t="n"/>
      <c r="K81" s="10" t="n"/>
      <c r="L81" s="11" t="n"/>
      <c r="M81" s="12" t="n"/>
      <c r="N81" s="11" t="n"/>
      <c r="O81" s="13" t="n"/>
      <c r="P81" s="11" t="n"/>
      <c r="Q81" s="13" t="n"/>
      <c r="R81" s="11" t="n"/>
      <c r="S81" s="13" t="n"/>
      <c r="T81" s="11" t="n"/>
      <c r="U81" s="13" t="n"/>
      <c r="V81" s="13">
        <f>IF(COUNTA(N81)&gt;0,SUM(O81,Q81,S81,U81),"")</f>
        <v/>
      </c>
      <c r="W81" s="13" t="n"/>
      <c r="X81" s="13">
        <f>IF(V81&lt;&gt;"",V81-IF(W81&lt;&gt;"",W81,0),"")</f>
        <v/>
      </c>
      <c r="Y81" s="14" t="n"/>
      <c r="Z81" s="11" t="n"/>
      <c r="AA81" s="11" t="n"/>
      <c r="AB81" s="11" t="n"/>
      <c r="AC81" s="10" t="n"/>
      <c r="AD81" s="11" t="n"/>
      <c r="AE81" s="11" t="n"/>
      <c r="AF81" s="11" t="n"/>
      <c r="AG81" s="14" t="n"/>
      <c r="AH81" s="11" t="n"/>
      <c r="AI81" s="14" t="n"/>
      <c r="AJ81" s="13" t="n"/>
      <c r="AK81" s="11" t="n"/>
      <c r="AL81" s="13">
        <f>IF(X81="","",IF(AN81="Received",0,X81-IF(AJ81&lt;&gt;"",AJ81,0)))</f>
        <v/>
      </c>
      <c r="AM81" s="13" t="n"/>
      <c r="AN81" s="11" t="n"/>
      <c r="AO81" s="11" t="n"/>
      <c r="AP81" s="13" t="n"/>
      <c r="AQ81" s="11">
        <f>IF(B81&lt;&gt;"","INV-"&amp;TEXT(ROW()-3,"0000"),"")</f>
        <v/>
      </c>
      <c r="AR81" s="11" t="n"/>
    </row>
    <row r="82">
      <c r="A82" s="7">
        <f>IF(B82&lt;&gt;"",ROW()-3,"")</f>
        <v/>
      </c>
      <c r="B82" s="8" t="n"/>
      <c r="C82" s="9">
        <f>IF(B82&lt;&gt;"","ST-"&amp;TEXT(ROW()-3,"0000"),"")</f>
        <v/>
      </c>
      <c r="D82" s="10" t="n"/>
      <c r="E82" s="11" t="n"/>
      <c r="F82" s="11" t="n"/>
      <c r="G82" s="11" t="n"/>
      <c r="H82" s="10" t="n"/>
      <c r="I82" s="11" t="n"/>
      <c r="J82" s="10" t="n"/>
      <c r="K82" s="10" t="n"/>
      <c r="L82" s="11" t="n"/>
      <c r="M82" s="12" t="n"/>
      <c r="N82" s="11" t="n"/>
      <c r="O82" s="13" t="n"/>
      <c r="P82" s="11" t="n"/>
      <c r="Q82" s="13" t="n"/>
      <c r="R82" s="11" t="n"/>
      <c r="S82" s="13" t="n"/>
      <c r="T82" s="11" t="n"/>
      <c r="U82" s="13" t="n"/>
      <c r="V82" s="13">
        <f>IF(COUNTA(N82)&gt;0,SUM(O82,Q82,S82,U82),"")</f>
        <v/>
      </c>
      <c r="W82" s="13" t="n"/>
      <c r="X82" s="13">
        <f>IF(V82&lt;&gt;"",V82-IF(W82&lt;&gt;"",W82,0),"")</f>
        <v/>
      </c>
      <c r="Y82" s="14" t="n"/>
      <c r="Z82" s="11" t="n"/>
      <c r="AA82" s="11" t="n"/>
      <c r="AB82" s="11" t="n"/>
      <c r="AC82" s="10" t="n"/>
      <c r="AD82" s="11" t="n"/>
      <c r="AE82" s="11" t="n"/>
      <c r="AF82" s="11" t="n"/>
      <c r="AG82" s="14" t="n"/>
      <c r="AH82" s="11" t="n"/>
      <c r="AI82" s="14" t="n"/>
      <c r="AJ82" s="13" t="n"/>
      <c r="AK82" s="11" t="n"/>
      <c r="AL82" s="13">
        <f>IF(X82="","",IF(AN82="Received",0,X82-IF(AJ82&lt;&gt;"",AJ82,0)))</f>
        <v/>
      </c>
      <c r="AM82" s="13" t="n"/>
      <c r="AN82" s="11" t="n"/>
      <c r="AO82" s="11" t="n"/>
      <c r="AP82" s="13" t="n"/>
      <c r="AQ82" s="11">
        <f>IF(B82&lt;&gt;"","INV-"&amp;TEXT(ROW()-3,"0000"),"")</f>
        <v/>
      </c>
      <c r="AR82" s="11" t="n"/>
    </row>
    <row r="83">
      <c r="A83" s="7">
        <f>IF(B83&lt;&gt;"",ROW()-3,"")</f>
        <v/>
      </c>
      <c r="B83" s="8" t="n"/>
      <c r="C83" s="9">
        <f>IF(B83&lt;&gt;"","ST-"&amp;TEXT(ROW()-3,"0000"),"")</f>
        <v/>
      </c>
      <c r="D83" s="10" t="n"/>
      <c r="E83" s="11" t="n"/>
      <c r="F83" s="11" t="n"/>
      <c r="G83" s="11" t="n"/>
      <c r="H83" s="10" t="n"/>
      <c r="I83" s="11" t="n"/>
      <c r="J83" s="10" t="n"/>
      <c r="K83" s="10" t="n"/>
      <c r="L83" s="11" t="n"/>
      <c r="M83" s="12" t="n"/>
      <c r="N83" s="11" t="n"/>
      <c r="O83" s="13" t="n"/>
      <c r="P83" s="11" t="n"/>
      <c r="Q83" s="13" t="n"/>
      <c r="R83" s="11" t="n"/>
      <c r="S83" s="13" t="n"/>
      <c r="T83" s="11" t="n"/>
      <c r="U83" s="13" t="n"/>
      <c r="V83" s="13">
        <f>IF(COUNTA(N83)&gt;0,SUM(O83,Q83,S83,U83),"")</f>
        <v/>
      </c>
      <c r="W83" s="13" t="n"/>
      <c r="X83" s="13">
        <f>IF(V83&lt;&gt;"",V83-IF(W83&lt;&gt;"",W83,0),"")</f>
        <v/>
      </c>
      <c r="Y83" s="14" t="n"/>
      <c r="Z83" s="11" t="n"/>
      <c r="AA83" s="11" t="n"/>
      <c r="AB83" s="11" t="n"/>
      <c r="AC83" s="10" t="n"/>
      <c r="AD83" s="11" t="n"/>
      <c r="AE83" s="11" t="n"/>
      <c r="AF83" s="11" t="n"/>
      <c r="AG83" s="14" t="n"/>
      <c r="AH83" s="11" t="n"/>
      <c r="AI83" s="14" t="n"/>
      <c r="AJ83" s="13" t="n"/>
      <c r="AK83" s="11" t="n"/>
      <c r="AL83" s="13">
        <f>IF(X83="","",IF(AN83="Received",0,X83-IF(AJ83&lt;&gt;"",AJ83,0)))</f>
        <v/>
      </c>
      <c r="AM83" s="13" t="n"/>
      <c r="AN83" s="11" t="n"/>
      <c r="AO83" s="11" t="n"/>
      <c r="AP83" s="13" t="n"/>
      <c r="AQ83" s="11">
        <f>IF(B83&lt;&gt;"","INV-"&amp;TEXT(ROW()-3,"0000"),"")</f>
        <v/>
      </c>
      <c r="AR83" s="11" t="n"/>
    </row>
    <row r="84">
      <c r="A84" s="7">
        <f>IF(B84&lt;&gt;"",ROW()-3,"")</f>
        <v/>
      </c>
      <c r="B84" s="8" t="n"/>
      <c r="C84" s="9">
        <f>IF(B84&lt;&gt;"","ST-"&amp;TEXT(ROW()-3,"0000"),"")</f>
        <v/>
      </c>
      <c r="D84" s="10" t="n"/>
      <c r="E84" s="11" t="n"/>
      <c r="F84" s="11" t="n"/>
      <c r="G84" s="11" t="n"/>
      <c r="H84" s="10" t="n"/>
      <c r="I84" s="11" t="n"/>
      <c r="J84" s="10" t="n"/>
      <c r="K84" s="10" t="n"/>
      <c r="L84" s="11" t="n"/>
      <c r="M84" s="12" t="n"/>
      <c r="N84" s="11" t="n"/>
      <c r="O84" s="13" t="n"/>
      <c r="P84" s="11" t="n"/>
      <c r="Q84" s="13" t="n"/>
      <c r="R84" s="11" t="n"/>
      <c r="S84" s="13" t="n"/>
      <c r="T84" s="11" t="n"/>
      <c r="U84" s="13" t="n"/>
      <c r="V84" s="13">
        <f>IF(COUNTA(N84)&gt;0,SUM(O84,Q84,S84,U84),"")</f>
        <v/>
      </c>
      <c r="W84" s="13" t="n"/>
      <c r="X84" s="13">
        <f>IF(V84&lt;&gt;"",V84-IF(W84&lt;&gt;"",W84,0),"")</f>
        <v/>
      </c>
      <c r="Y84" s="14" t="n"/>
      <c r="Z84" s="11" t="n"/>
      <c r="AA84" s="11" t="n"/>
      <c r="AB84" s="11" t="n"/>
      <c r="AC84" s="10" t="n"/>
      <c r="AD84" s="11" t="n"/>
      <c r="AE84" s="11" t="n"/>
      <c r="AF84" s="11" t="n"/>
      <c r="AG84" s="14" t="n"/>
      <c r="AH84" s="11" t="n"/>
      <c r="AI84" s="14" t="n"/>
      <c r="AJ84" s="13" t="n"/>
      <c r="AK84" s="11" t="n"/>
      <c r="AL84" s="13">
        <f>IF(X84="","",IF(AN84="Received",0,X84-IF(AJ84&lt;&gt;"",AJ84,0)))</f>
        <v/>
      </c>
      <c r="AM84" s="13" t="n"/>
      <c r="AN84" s="11" t="n"/>
      <c r="AO84" s="11" t="n"/>
      <c r="AP84" s="13" t="n"/>
      <c r="AQ84" s="11">
        <f>IF(B84&lt;&gt;"","INV-"&amp;TEXT(ROW()-3,"0000"),"")</f>
        <v/>
      </c>
      <c r="AR84" s="11" t="n"/>
    </row>
    <row r="85">
      <c r="A85" s="7">
        <f>IF(B85&lt;&gt;"",ROW()-3,"")</f>
        <v/>
      </c>
      <c r="B85" s="8" t="n"/>
      <c r="C85" s="9">
        <f>IF(B85&lt;&gt;"","ST-"&amp;TEXT(ROW()-3,"0000"),"")</f>
        <v/>
      </c>
      <c r="D85" s="10" t="n"/>
      <c r="E85" s="11" t="n"/>
      <c r="F85" s="11" t="n"/>
      <c r="G85" s="11" t="n"/>
      <c r="H85" s="10" t="n"/>
      <c r="I85" s="11" t="n"/>
      <c r="J85" s="10" t="n"/>
      <c r="K85" s="10" t="n"/>
      <c r="L85" s="11" t="n"/>
      <c r="M85" s="12" t="n"/>
      <c r="N85" s="11" t="n"/>
      <c r="O85" s="13" t="n"/>
      <c r="P85" s="11" t="n"/>
      <c r="Q85" s="13" t="n"/>
      <c r="R85" s="11" t="n"/>
      <c r="S85" s="13" t="n"/>
      <c r="T85" s="11" t="n"/>
      <c r="U85" s="13" t="n"/>
      <c r="V85" s="13">
        <f>IF(COUNTA(N85)&gt;0,SUM(O85,Q85,S85,U85),"")</f>
        <v/>
      </c>
      <c r="W85" s="13" t="n"/>
      <c r="X85" s="13">
        <f>IF(V85&lt;&gt;"",V85-IF(W85&lt;&gt;"",W85,0),"")</f>
        <v/>
      </c>
      <c r="Y85" s="14" t="n"/>
      <c r="Z85" s="11" t="n"/>
      <c r="AA85" s="11" t="n"/>
      <c r="AB85" s="11" t="n"/>
      <c r="AC85" s="10" t="n"/>
      <c r="AD85" s="11" t="n"/>
      <c r="AE85" s="11" t="n"/>
      <c r="AF85" s="11" t="n"/>
      <c r="AG85" s="14" t="n"/>
      <c r="AH85" s="11" t="n"/>
      <c r="AI85" s="14" t="n"/>
      <c r="AJ85" s="13" t="n"/>
      <c r="AK85" s="11" t="n"/>
      <c r="AL85" s="13">
        <f>IF(X85="","",IF(AN85="Received",0,X85-IF(AJ85&lt;&gt;"",AJ85,0)))</f>
        <v/>
      </c>
      <c r="AM85" s="13" t="n"/>
      <c r="AN85" s="11" t="n"/>
      <c r="AO85" s="11" t="n"/>
      <c r="AP85" s="13" t="n"/>
      <c r="AQ85" s="11">
        <f>IF(B85&lt;&gt;"","INV-"&amp;TEXT(ROW()-3,"0000"),"")</f>
        <v/>
      </c>
      <c r="AR85" s="11" t="n"/>
    </row>
    <row r="86">
      <c r="A86" s="7">
        <f>IF(B86&lt;&gt;"",ROW()-3,"")</f>
        <v/>
      </c>
      <c r="B86" s="8" t="n"/>
      <c r="C86" s="9">
        <f>IF(B86&lt;&gt;"","ST-"&amp;TEXT(ROW()-3,"0000"),"")</f>
        <v/>
      </c>
      <c r="D86" s="10" t="n"/>
      <c r="E86" s="11" t="n"/>
      <c r="F86" s="11" t="n"/>
      <c r="G86" s="11" t="n"/>
      <c r="H86" s="10" t="n"/>
      <c r="I86" s="11" t="n"/>
      <c r="J86" s="10" t="n"/>
      <c r="K86" s="10" t="n"/>
      <c r="L86" s="11" t="n"/>
      <c r="M86" s="12" t="n"/>
      <c r="N86" s="11" t="n"/>
      <c r="O86" s="13" t="n"/>
      <c r="P86" s="11" t="n"/>
      <c r="Q86" s="13" t="n"/>
      <c r="R86" s="11" t="n"/>
      <c r="S86" s="13" t="n"/>
      <c r="T86" s="11" t="n"/>
      <c r="U86" s="13" t="n"/>
      <c r="V86" s="13">
        <f>IF(COUNTA(N86)&gt;0,SUM(O86,Q86,S86,U86),"")</f>
        <v/>
      </c>
      <c r="W86" s="13" t="n"/>
      <c r="X86" s="13">
        <f>IF(V86&lt;&gt;"",V86-IF(W86&lt;&gt;"",W86,0),"")</f>
        <v/>
      </c>
      <c r="Y86" s="14" t="n"/>
      <c r="Z86" s="11" t="n"/>
      <c r="AA86" s="11" t="n"/>
      <c r="AB86" s="11" t="n"/>
      <c r="AC86" s="10" t="n"/>
      <c r="AD86" s="11" t="n"/>
      <c r="AE86" s="11" t="n"/>
      <c r="AF86" s="11" t="n"/>
      <c r="AG86" s="14" t="n"/>
      <c r="AH86" s="11" t="n"/>
      <c r="AI86" s="14" t="n"/>
      <c r="AJ86" s="13" t="n"/>
      <c r="AK86" s="11" t="n"/>
      <c r="AL86" s="13">
        <f>IF(X86="","",IF(AN86="Received",0,X86-IF(AJ86&lt;&gt;"",AJ86,0)))</f>
        <v/>
      </c>
      <c r="AM86" s="13" t="n"/>
      <c r="AN86" s="11" t="n"/>
      <c r="AO86" s="11" t="n"/>
      <c r="AP86" s="13" t="n"/>
      <c r="AQ86" s="11">
        <f>IF(B86&lt;&gt;"","INV-"&amp;TEXT(ROW()-3,"0000"),"")</f>
        <v/>
      </c>
      <c r="AR86" s="11" t="n"/>
    </row>
    <row r="87">
      <c r="A87" s="7">
        <f>IF(B87&lt;&gt;"",ROW()-3,"")</f>
        <v/>
      </c>
      <c r="B87" s="8" t="n"/>
      <c r="C87" s="9">
        <f>IF(B87&lt;&gt;"","ST-"&amp;TEXT(ROW()-3,"0000"),"")</f>
        <v/>
      </c>
      <c r="D87" s="10" t="n"/>
      <c r="E87" s="11" t="n"/>
      <c r="F87" s="11" t="n"/>
      <c r="G87" s="11" t="n"/>
      <c r="H87" s="10" t="n"/>
      <c r="I87" s="11" t="n"/>
      <c r="J87" s="10" t="n"/>
      <c r="K87" s="10" t="n"/>
      <c r="L87" s="11" t="n"/>
      <c r="M87" s="12" t="n"/>
      <c r="N87" s="11" t="n"/>
      <c r="O87" s="13" t="n"/>
      <c r="P87" s="11" t="n"/>
      <c r="Q87" s="13" t="n"/>
      <c r="R87" s="11" t="n"/>
      <c r="S87" s="13" t="n"/>
      <c r="T87" s="11" t="n"/>
      <c r="U87" s="13" t="n"/>
      <c r="V87" s="13">
        <f>IF(COUNTA(N87)&gt;0,SUM(O87,Q87,S87,U87),"")</f>
        <v/>
      </c>
      <c r="W87" s="13" t="n"/>
      <c r="X87" s="13">
        <f>IF(V87&lt;&gt;"",V87-IF(W87&lt;&gt;"",W87,0),"")</f>
        <v/>
      </c>
      <c r="Y87" s="14" t="n"/>
      <c r="Z87" s="11" t="n"/>
      <c r="AA87" s="11" t="n"/>
      <c r="AB87" s="11" t="n"/>
      <c r="AC87" s="10" t="n"/>
      <c r="AD87" s="11" t="n"/>
      <c r="AE87" s="11" t="n"/>
      <c r="AF87" s="11" t="n"/>
      <c r="AG87" s="14" t="n"/>
      <c r="AH87" s="11" t="n"/>
      <c r="AI87" s="14" t="n"/>
      <c r="AJ87" s="13" t="n"/>
      <c r="AK87" s="11" t="n"/>
      <c r="AL87" s="13">
        <f>IF(X87="","",IF(AN87="Received",0,X87-IF(AJ87&lt;&gt;"",AJ87,0)))</f>
        <v/>
      </c>
      <c r="AM87" s="13" t="n"/>
      <c r="AN87" s="11" t="n"/>
      <c r="AO87" s="11" t="n"/>
      <c r="AP87" s="13" t="n"/>
      <c r="AQ87" s="11">
        <f>IF(B87&lt;&gt;"","INV-"&amp;TEXT(ROW()-3,"0000"),"")</f>
        <v/>
      </c>
      <c r="AR87" s="11" t="n"/>
    </row>
    <row r="88">
      <c r="A88" s="7">
        <f>IF(B88&lt;&gt;"",ROW()-3,"")</f>
        <v/>
      </c>
      <c r="B88" s="8" t="n"/>
      <c r="C88" s="9">
        <f>IF(B88&lt;&gt;"","ST-"&amp;TEXT(ROW()-3,"0000"),"")</f>
        <v/>
      </c>
      <c r="D88" s="10" t="n"/>
      <c r="E88" s="11" t="n"/>
      <c r="F88" s="11" t="n"/>
      <c r="G88" s="11" t="n"/>
      <c r="H88" s="10" t="n"/>
      <c r="I88" s="11" t="n"/>
      <c r="J88" s="10" t="n"/>
      <c r="K88" s="10" t="n"/>
      <c r="L88" s="11" t="n"/>
      <c r="M88" s="12" t="n"/>
      <c r="N88" s="11" t="n"/>
      <c r="O88" s="13" t="n"/>
      <c r="P88" s="11" t="n"/>
      <c r="Q88" s="13" t="n"/>
      <c r="R88" s="11" t="n"/>
      <c r="S88" s="13" t="n"/>
      <c r="T88" s="11" t="n"/>
      <c r="U88" s="13" t="n"/>
      <c r="V88" s="13">
        <f>IF(COUNTA(N88)&gt;0,SUM(O88,Q88,S88,U88),"")</f>
        <v/>
      </c>
      <c r="W88" s="13" t="n"/>
      <c r="X88" s="13">
        <f>IF(V88&lt;&gt;"",V88-IF(W88&lt;&gt;"",W88,0),"")</f>
        <v/>
      </c>
      <c r="Y88" s="14" t="n"/>
      <c r="Z88" s="11" t="n"/>
      <c r="AA88" s="11" t="n"/>
      <c r="AB88" s="11" t="n"/>
      <c r="AC88" s="10" t="n"/>
      <c r="AD88" s="11" t="n"/>
      <c r="AE88" s="11" t="n"/>
      <c r="AF88" s="11" t="n"/>
      <c r="AG88" s="14" t="n"/>
      <c r="AH88" s="11" t="n"/>
      <c r="AI88" s="14" t="n"/>
      <c r="AJ88" s="13" t="n"/>
      <c r="AK88" s="11" t="n"/>
      <c r="AL88" s="13">
        <f>IF(X88="","",IF(AN88="Received",0,X88-IF(AJ88&lt;&gt;"",AJ88,0)))</f>
        <v/>
      </c>
      <c r="AM88" s="13" t="n"/>
      <c r="AN88" s="11" t="n"/>
      <c r="AO88" s="11" t="n"/>
      <c r="AP88" s="13" t="n"/>
      <c r="AQ88" s="11">
        <f>IF(B88&lt;&gt;"","INV-"&amp;TEXT(ROW()-3,"0000"),"")</f>
        <v/>
      </c>
      <c r="AR88" s="11" t="n"/>
    </row>
    <row r="89">
      <c r="A89" s="7">
        <f>IF(B89&lt;&gt;"",ROW()-3,"")</f>
        <v/>
      </c>
      <c r="B89" s="8" t="n"/>
      <c r="C89" s="9">
        <f>IF(B89&lt;&gt;"","ST-"&amp;TEXT(ROW()-3,"0000"),"")</f>
        <v/>
      </c>
      <c r="D89" s="10" t="n"/>
      <c r="E89" s="11" t="n"/>
      <c r="F89" s="11" t="n"/>
      <c r="G89" s="11" t="n"/>
      <c r="H89" s="10" t="n"/>
      <c r="I89" s="11" t="n"/>
      <c r="J89" s="10" t="n"/>
      <c r="K89" s="10" t="n"/>
      <c r="L89" s="11" t="n"/>
      <c r="M89" s="12" t="n"/>
      <c r="N89" s="11" t="n"/>
      <c r="O89" s="13" t="n"/>
      <c r="P89" s="11" t="n"/>
      <c r="Q89" s="13" t="n"/>
      <c r="R89" s="11" t="n"/>
      <c r="S89" s="13" t="n"/>
      <c r="T89" s="11" t="n"/>
      <c r="U89" s="13" t="n"/>
      <c r="V89" s="13">
        <f>IF(COUNTA(N89)&gt;0,SUM(O89,Q89,S89,U89),"")</f>
        <v/>
      </c>
      <c r="W89" s="13" t="n"/>
      <c r="X89" s="13">
        <f>IF(V89&lt;&gt;"",V89-IF(W89&lt;&gt;"",W89,0),"")</f>
        <v/>
      </c>
      <c r="Y89" s="14" t="n"/>
      <c r="Z89" s="11" t="n"/>
      <c r="AA89" s="11" t="n"/>
      <c r="AB89" s="11" t="n"/>
      <c r="AC89" s="10" t="n"/>
      <c r="AD89" s="11" t="n"/>
      <c r="AE89" s="11" t="n"/>
      <c r="AF89" s="11" t="n"/>
      <c r="AG89" s="14" t="n"/>
      <c r="AH89" s="11" t="n"/>
      <c r="AI89" s="14" t="n"/>
      <c r="AJ89" s="13" t="n"/>
      <c r="AK89" s="11" t="n"/>
      <c r="AL89" s="13">
        <f>IF(X89="","",IF(AN89="Received",0,X89-IF(AJ89&lt;&gt;"",AJ89,0)))</f>
        <v/>
      </c>
      <c r="AM89" s="13" t="n"/>
      <c r="AN89" s="11" t="n"/>
      <c r="AO89" s="11" t="n"/>
      <c r="AP89" s="13" t="n"/>
      <c r="AQ89" s="11">
        <f>IF(B89&lt;&gt;"","INV-"&amp;TEXT(ROW()-3,"0000"),"")</f>
        <v/>
      </c>
      <c r="AR89" s="11" t="n"/>
    </row>
    <row r="90">
      <c r="A90" s="7">
        <f>IF(B90&lt;&gt;"",ROW()-3,"")</f>
        <v/>
      </c>
      <c r="B90" s="8" t="n"/>
      <c r="C90" s="9">
        <f>IF(B90&lt;&gt;"","ST-"&amp;TEXT(ROW()-3,"0000"),"")</f>
        <v/>
      </c>
      <c r="D90" s="10" t="n"/>
      <c r="E90" s="11" t="n"/>
      <c r="F90" s="11" t="n"/>
      <c r="G90" s="11" t="n"/>
      <c r="H90" s="10" t="n"/>
      <c r="I90" s="11" t="n"/>
      <c r="J90" s="10" t="n"/>
      <c r="K90" s="10" t="n"/>
      <c r="L90" s="11" t="n"/>
      <c r="M90" s="12" t="n"/>
      <c r="N90" s="11" t="n"/>
      <c r="O90" s="13" t="n"/>
      <c r="P90" s="11" t="n"/>
      <c r="Q90" s="13" t="n"/>
      <c r="R90" s="11" t="n"/>
      <c r="S90" s="13" t="n"/>
      <c r="T90" s="11" t="n"/>
      <c r="U90" s="13" t="n"/>
      <c r="V90" s="13">
        <f>IF(COUNTA(N90)&gt;0,SUM(O90,Q90,S90,U90),"")</f>
        <v/>
      </c>
      <c r="W90" s="13" t="n"/>
      <c r="X90" s="13">
        <f>IF(V90&lt;&gt;"",V90-IF(W90&lt;&gt;"",W90,0),"")</f>
        <v/>
      </c>
      <c r="Y90" s="14" t="n"/>
      <c r="Z90" s="11" t="n"/>
      <c r="AA90" s="11" t="n"/>
      <c r="AB90" s="11" t="n"/>
      <c r="AC90" s="10" t="n"/>
      <c r="AD90" s="11" t="n"/>
      <c r="AE90" s="11" t="n"/>
      <c r="AF90" s="11" t="n"/>
      <c r="AG90" s="14" t="n"/>
      <c r="AH90" s="11" t="n"/>
      <c r="AI90" s="14" t="n"/>
      <c r="AJ90" s="13" t="n"/>
      <c r="AK90" s="11" t="n"/>
      <c r="AL90" s="13">
        <f>IF(X90="","",IF(AN90="Received",0,X90-IF(AJ90&lt;&gt;"",AJ90,0)))</f>
        <v/>
      </c>
      <c r="AM90" s="13" t="n"/>
      <c r="AN90" s="11" t="n"/>
      <c r="AO90" s="11" t="n"/>
      <c r="AP90" s="13" t="n"/>
      <c r="AQ90" s="11">
        <f>IF(B90&lt;&gt;"","INV-"&amp;TEXT(ROW()-3,"0000"),"")</f>
        <v/>
      </c>
      <c r="AR90" s="11" t="n"/>
    </row>
    <row r="91">
      <c r="A91" s="7">
        <f>IF(B91&lt;&gt;"",ROW()-3,"")</f>
        <v/>
      </c>
      <c r="B91" s="8" t="n"/>
      <c r="C91" s="9">
        <f>IF(B91&lt;&gt;"","ST-"&amp;TEXT(ROW()-3,"0000"),"")</f>
        <v/>
      </c>
      <c r="D91" s="10" t="n"/>
      <c r="E91" s="11" t="n"/>
      <c r="F91" s="11" t="n"/>
      <c r="G91" s="11" t="n"/>
      <c r="H91" s="10" t="n"/>
      <c r="I91" s="11" t="n"/>
      <c r="J91" s="10" t="n"/>
      <c r="K91" s="10" t="n"/>
      <c r="L91" s="11" t="n"/>
      <c r="M91" s="12" t="n"/>
      <c r="N91" s="11" t="n"/>
      <c r="O91" s="13" t="n"/>
      <c r="P91" s="11" t="n"/>
      <c r="Q91" s="13" t="n"/>
      <c r="R91" s="11" t="n"/>
      <c r="S91" s="13" t="n"/>
      <c r="T91" s="11" t="n"/>
      <c r="U91" s="13" t="n"/>
      <c r="V91" s="13">
        <f>IF(COUNTA(N91)&gt;0,SUM(O91,Q91,S91,U91),"")</f>
        <v/>
      </c>
      <c r="W91" s="13" t="n"/>
      <c r="X91" s="13">
        <f>IF(V91&lt;&gt;"",V91-IF(W91&lt;&gt;"",W91,0),"")</f>
        <v/>
      </c>
      <c r="Y91" s="14" t="n"/>
      <c r="Z91" s="11" t="n"/>
      <c r="AA91" s="11" t="n"/>
      <c r="AB91" s="11" t="n"/>
      <c r="AC91" s="10" t="n"/>
      <c r="AD91" s="11" t="n"/>
      <c r="AE91" s="11" t="n"/>
      <c r="AF91" s="11" t="n"/>
      <c r="AG91" s="14" t="n"/>
      <c r="AH91" s="11" t="n"/>
      <c r="AI91" s="14" t="n"/>
      <c r="AJ91" s="13" t="n"/>
      <c r="AK91" s="11" t="n"/>
      <c r="AL91" s="13">
        <f>IF(X91="","",IF(AN91="Received",0,X91-IF(AJ91&lt;&gt;"",AJ91,0)))</f>
        <v/>
      </c>
      <c r="AM91" s="13" t="n"/>
      <c r="AN91" s="11" t="n"/>
      <c r="AO91" s="11" t="n"/>
      <c r="AP91" s="13" t="n"/>
      <c r="AQ91" s="11">
        <f>IF(B91&lt;&gt;"","INV-"&amp;TEXT(ROW()-3,"0000"),"")</f>
        <v/>
      </c>
      <c r="AR91" s="11" t="n"/>
    </row>
    <row r="92">
      <c r="A92" s="7">
        <f>IF(B92&lt;&gt;"",ROW()-3,"")</f>
        <v/>
      </c>
      <c r="B92" s="8" t="n"/>
      <c r="C92" s="9">
        <f>IF(B92&lt;&gt;"","ST-"&amp;TEXT(ROW()-3,"0000"),"")</f>
        <v/>
      </c>
      <c r="D92" s="10" t="n"/>
      <c r="E92" s="11" t="n"/>
      <c r="F92" s="11" t="n"/>
      <c r="G92" s="11" t="n"/>
      <c r="H92" s="10" t="n"/>
      <c r="I92" s="11" t="n"/>
      <c r="J92" s="10" t="n"/>
      <c r="K92" s="10" t="n"/>
      <c r="L92" s="11" t="n"/>
      <c r="M92" s="12" t="n"/>
      <c r="N92" s="11" t="n"/>
      <c r="O92" s="13" t="n"/>
      <c r="P92" s="11" t="n"/>
      <c r="Q92" s="13" t="n"/>
      <c r="R92" s="11" t="n"/>
      <c r="S92" s="13" t="n"/>
      <c r="T92" s="11" t="n"/>
      <c r="U92" s="13" t="n"/>
      <c r="V92" s="13">
        <f>IF(COUNTA(N92)&gt;0,SUM(O92,Q92,S92,U92),"")</f>
        <v/>
      </c>
      <c r="W92" s="13" t="n"/>
      <c r="X92" s="13">
        <f>IF(V92&lt;&gt;"",V92-IF(W92&lt;&gt;"",W92,0),"")</f>
        <v/>
      </c>
      <c r="Y92" s="14" t="n"/>
      <c r="Z92" s="11" t="n"/>
      <c r="AA92" s="11" t="n"/>
      <c r="AB92" s="11" t="n"/>
      <c r="AC92" s="10" t="n"/>
      <c r="AD92" s="11" t="n"/>
      <c r="AE92" s="11" t="n"/>
      <c r="AF92" s="11" t="n"/>
      <c r="AG92" s="14" t="n"/>
      <c r="AH92" s="11" t="n"/>
      <c r="AI92" s="14" t="n"/>
      <c r="AJ92" s="13" t="n"/>
      <c r="AK92" s="11" t="n"/>
      <c r="AL92" s="13">
        <f>IF(X92="","",IF(AN92="Received",0,X92-IF(AJ92&lt;&gt;"",AJ92,0)))</f>
        <v/>
      </c>
      <c r="AM92" s="13" t="n"/>
      <c r="AN92" s="11" t="n"/>
      <c r="AO92" s="11" t="n"/>
      <c r="AP92" s="13" t="n"/>
      <c r="AQ92" s="11">
        <f>IF(B92&lt;&gt;"","INV-"&amp;TEXT(ROW()-3,"0000"),"")</f>
        <v/>
      </c>
      <c r="AR92" s="11" t="n"/>
    </row>
    <row r="93">
      <c r="A93" s="7">
        <f>IF(B93&lt;&gt;"",ROW()-3,"")</f>
        <v/>
      </c>
      <c r="B93" s="8" t="n"/>
      <c r="C93" s="9">
        <f>IF(B93&lt;&gt;"","ST-"&amp;TEXT(ROW()-3,"0000"),"")</f>
        <v/>
      </c>
      <c r="D93" s="10" t="n"/>
      <c r="E93" s="11" t="n"/>
      <c r="F93" s="11" t="n"/>
      <c r="G93" s="11" t="n"/>
      <c r="H93" s="10" t="n"/>
      <c r="I93" s="11" t="n"/>
      <c r="J93" s="10" t="n"/>
      <c r="K93" s="10" t="n"/>
      <c r="L93" s="11" t="n"/>
      <c r="M93" s="12" t="n"/>
      <c r="N93" s="11" t="n"/>
      <c r="O93" s="13" t="n"/>
      <c r="P93" s="11" t="n"/>
      <c r="Q93" s="13" t="n"/>
      <c r="R93" s="11" t="n"/>
      <c r="S93" s="13" t="n"/>
      <c r="T93" s="11" t="n"/>
      <c r="U93" s="13" t="n"/>
      <c r="V93" s="13">
        <f>IF(COUNTA(N93)&gt;0,SUM(O93,Q93,S93,U93),"")</f>
        <v/>
      </c>
      <c r="W93" s="13" t="n"/>
      <c r="X93" s="13">
        <f>IF(V93&lt;&gt;"",V93-IF(W93&lt;&gt;"",W93,0),"")</f>
        <v/>
      </c>
      <c r="Y93" s="14" t="n"/>
      <c r="Z93" s="11" t="n"/>
      <c r="AA93" s="11" t="n"/>
      <c r="AB93" s="11" t="n"/>
      <c r="AC93" s="10" t="n"/>
      <c r="AD93" s="11" t="n"/>
      <c r="AE93" s="11" t="n"/>
      <c r="AF93" s="11" t="n"/>
      <c r="AG93" s="14" t="n"/>
      <c r="AH93" s="11" t="n"/>
      <c r="AI93" s="14" t="n"/>
      <c r="AJ93" s="13" t="n"/>
      <c r="AK93" s="11" t="n"/>
      <c r="AL93" s="13">
        <f>IF(X93="","",IF(AN93="Received",0,X93-IF(AJ93&lt;&gt;"",AJ93,0)))</f>
        <v/>
      </c>
      <c r="AM93" s="13" t="n"/>
      <c r="AN93" s="11" t="n"/>
      <c r="AO93" s="11" t="n"/>
      <c r="AP93" s="13" t="n"/>
      <c r="AQ93" s="11">
        <f>IF(B93&lt;&gt;"","INV-"&amp;TEXT(ROW()-3,"0000"),"")</f>
        <v/>
      </c>
      <c r="AR93" s="11" t="n"/>
    </row>
    <row r="94">
      <c r="A94" s="7">
        <f>IF(B94&lt;&gt;"",ROW()-3,"")</f>
        <v/>
      </c>
      <c r="B94" s="8" t="n"/>
      <c r="C94" s="9">
        <f>IF(B94&lt;&gt;"","ST-"&amp;TEXT(ROW()-3,"0000"),"")</f>
        <v/>
      </c>
      <c r="D94" s="10" t="n"/>
      <c r="E94" s="11" t="n"/>
      <c r="F94" s="11" t="n"/>
      <c r="G94" s="11" t="n"/>
      <c r="H94" s="10" t="n"/>
      <c r="I94" s="11" t="n"/>
      <c r="J94" s="10" t="n"/>
      <c r="K94" s="10" t="n"/>
      <c r="L94" s="11" t="n"/>
      <c r="M94" s="12" t="n"/>
      <c r="N94" s="11" t="n"/>
      <c r="O94" s="13" t="n"/>
      <c r="P94" s="11" t="n"/>
      <c r="Q94" s="13" t="n"/>
      <c r="R94" s="11" t="n"/>
      <c r="S94" s="13" t="n"/>
      <c r="T94" s="11" t="n"/>
      <c r="U94" s="13" t="n"/>
      <c r="V94" s="13">
        <f>IF(COUNTA(N94)&gt;0,SUM(O94,Q94,S94,U94),"")</f>
        <v/>
      </c>
      <c r="W94" s="13" t="n"/>
      <c r="X94" s="13">
        <f>IF(V94&lt;&gt;"",V94-IF(W94&lt;&gt;"",W94,0),"")</f>
        <v/>
      </c>
      <c r="Y94" s="14" t="n"/>
      <c r="Z94" s="11" t="n"/>
      <c r="AA94" s="11" t="n"/>
      <c r="AB94" s="11" t="n"/>
      <c r="AC94" s="10" t="n"/>
      <c r="AD94" s="11" t="n"/>
      <c r="AE94" s="11" t="n"/>
      <c r="AF94" s="11" t="n"/>
      <c r="AG94" s="14" t="n"/>
      <c r="AH94" s="11" t="n"/>
      <c r="AI94" s="14" t="n"/>
      <c r="AJ94" s="13" t="n"/>
      <c r="AK94" s="11" t="n"/>
      <c r="AL94" s="13">
        <f>IF(X94="","",IF(AN94="Received",0,X94-IF(AJ94&lt;&gt;"",AJ94,0)))</f>
        <v/>
      </c>
      <c r="AM94" s="13" t="n"/>
      <c r="AN94" s="11" t="n"/>
      <c r="AO94" s="11" t="n"/>
      <c r="AP94" s="13" t="n"/>
      <c r="AQ94" s="11">
        <f>IF(B94&lt;&gt;"","INV-"&amp;TEXT(ROW()-3,"0000"),"")</f>
        <v/>
      </c>
      <c r="AR94" s="11" t="n"/>
    </row>
    <row r="95">
      <c r="A95" s="7">
        <f>IF(B95&lt;&gt;"",ROW()-3,"")</f>
        <v/>
      </c>
      <c r="B95" s="8" t="n"/>
      <c r="C95" s="9">
        <f>IF(B95&lt;&gt;"","ST-"&amp;TEXT(ROW()-3,"0000"),"")</f>
        <v/>
      </c>
      <c r="D95" s="10" t="n"/>
      <c r="E95" s="11" t="n"/>
      <c r="F95" s="11" t="n"/>
      <c r="G95" s="11" t="n"/>
      <c r="H95" s="10" t="n"/>
      <c r="I95" s="11" t="n"/>
      <c r="J95" s="10" t="n"/>
      <c r="K95" s="10" t="n"/>
      <c r="L95" s="11" t="n"/>
      <c r="M95" s="12" t="n"/>
      <c r="N95" s="11" t="n"/>
      <c r="O95" s="13" t="n"/>
      <c r="P95" s="11" t="n"/>
      <c r="Q95" s="13" t="n"/>
      <c r="R95" s="11" t="n"/>
      <c r="S95" s="13" t="n"/>
      <c r="T95" s="11" t="n"/>
      <c r="U95" s="13" t="n"/>
      <c r="V95" s="13">
        <f>IF(COUNTA(N95)&gt;0,SUM(O95,Q95,S95,U95),"")</f>
        <v/>
      </c>
      <c r="W95" s="13" t="n"/>
      <c r="X95" s="13">
        <f>IF(V95&lt;&gt;"",V95-IF(W95&lt;&gt;"",W95,0),"")</f>
        <v/>
      </c>
      <c r="Y95" s="14" t="n"/>
      <c r="Z95" s="11" t="n"/>
      <c r="AA95" s="11" t="n"/>
      <c r="AB95" s="11" t="n"/>
      <c r="AC95" s="10" t="n"/>
      <c r="AD95" s="11" t="n"/>
      <c r="AE95" s="11" t="n"/>
      <c r="AF95" s="11" t="n"/>
      <c r="AG95" s="14" t="n"/>
      <c r="AH95" s="11" t="n"/>
      <c r="AI95" s="14" t="n"/>
      <c r="AJ95" s="13" t="n"/>
      <c r="AK95" s="11" t="n"/>
      <c r="AL95" s="13">
        <f>IF(X95="","",IF(AN95="Received",0,X95-IF(AJ95&lt;&gt;"",AJ95,0)))</f>
        <v/>
      </c>
      <c r="AM95" s="13" t="n"/>
      <c r="AN95" s="11" t="n"/>
      <c r="AO95" s="11" t="n"/>
      <c r="AP95" s="13" t="n"/>
      <c r="AQ95" s="11">
        <f>IF(B95&lt;&gt;"","INV-"&amp;TEXT(ROW()-3,"0000"),"")</f>
        <v/>
      </c>
      <c r="AR95" s="11" t="n"/>
    </row>
    <row r="96">
      <c r="A96" s="7">
        <f>IF(B96&lt;&gt;"",ROW()-3,"")</f>
        <v/>
      </c>
      <c r="B96" s="8" t="n"/>
      <c r="C96" s="9">
        <f>IF(B96&lt;&gt;"","ST-"&amp;TEXT(ROW()-3,"0000"),"")</f>
        <v/>
      </c>
      <c r="D96" s="10" t="n"/>
      <c r="E96" s="11" t="n"/>
      <c r="F96" s="11" t="n"/>
      <c r="G96" s="11" t="n"/>
      <c r="H96" s="10" t="n"/>
      <c r="I96" s="11" t="n"/>
      <c r="J96" s="10" t="n"/>
      <c r="K96" s="10" t="n"/>
      <c r="L96" s="11" t="n"/>
      <c r="M96" s="12" t="n"/>
      <c r="N96" s="11" t="n"/>
      <c r="O96" s="13" t="n"/>
      <c r="P96" s="11" t="n"/>
      <c r="Q96" s="13" t="n"/>
      <c r="R96" s="11" t="n"/>
      <c r="S96" s="13" t="n"/>
      <c r="T96" s="11" t="n"/>
      <c r="U96" s="13" t="n"/>
      <c r="V96" s="13">
        <f>IF(COUNTA(N96)&gt;0,SUM(O96,Q96,S96,U96),"")</f>
        <v/>
      </c>
      <c r="W96" s="13" t="n"/>
      <c r="X96" s="13">
        <f>IF(V96&lt;&gt;"",V96-IF(W96&lt;&gt;"",W96,0),"")</f>
        <v/>
      </c>
      <c r="Y96" s="14" t="n"/>
      <c r="Z96" s="11" t="n"/>
      <c r="AA96" s="11" t="n"/>
      <c r="AB96" s="11" t="n"/>
      <c r="AC96" s="10" t="n"/>
      <c r="AD96" s="11" t="n"/>
      <c r="AE96" s="11" t="n"/>
      <c r="AF96" s="11" t="n"/>
      <c r="AG96" s="14" t="n"/>
      <c r="AH96" s="11" t="n"/>
      <c r="AI96" s="14" t="n"/>
      <c r="AJ96" s="13" t="n"/>
      <c r="AK96" s="11" t="n"/>
      <c r="AL96" s="13">
        <f>IF(X96="","",IF(AN96="Received",0,X96-IF(AJ96&lt;&gt;"",AJ96,0)))</f>
        <v/>
      </c>
      <c r="AM96" s="13" t="n"/>
      <c r="AN96" s="11" t="n"/>
      <c r="AO96" s="11" t="n"/>
      <c r="AP96" s="13" t="n"/>
      <c r="AQ96" s="11">
        <f>IF(B96&lt;&gt;"","INV-"&amp;TEXT(ROW()-3,"0000"),"")</f>
        <v/>
      </c>
      <c r="AR96" s="11" t="n"/>
    </row>
    <row r="97">
      <c r="A97" s="7">
        <f>IF(B97&lt;&gt;"",ROW()-3,"")</f>
        <v/>
      </c>
      <c r="B97" s="8" t="n"/>
      <c r="C97" s="9">
        <f>IF(B97&lt;&gt;"","ST-"&amp;TEXT(ROW()-3,"0000"),"")</f>
        <v/>
      </c>
      <c r="D97" s="10" t="n"/>
      <c r="E97" s="11" t="n"/>
      <c r="F97" s="11" t="n"/>
      <c r="G97" s="11" t="n"/>
      <c r="H97" s="10" t="n"/>
      <c r="I97" s="11" t="n"/>
      <c r="J97" s="10" t="n"/>
      <c r="K97" s="10" t="n"/>
      <c r="L97" s="11" t="n"/>
      <c r="M97" s="12" t="n"/>
      <c r="N97" s="11" t="n"/>
      <c r="O97" s="13" t="n"/>
      <c r="P97" s="11" t="n"/>
      <c r="Q97" s="13" t="n"/>
      <c r="R97" s="11" t="n"/>
      <c r="S97" s="13" t="n"/>
      <c r="T97" s="11" t="n"/>
      <c r="U97" s="13" t="n"/>
      <c r="V97" s="13">
        <f>IF(COUNTA(N97)&gt;0,SUM(O97,Q97,S97,U97),"")</f>
        <v/>
      </c>
      <c r="W97" s="13" t="n"/>
      <c r="X97" s="13">
        <f>IF(V97&lt;&gt;"",V97-IF(W97&lt;&gt;"",W97,0),"")</f>
        <v/>
      </c>
      <c r="Y97" s="14" t="n"/>
      <c r="Z97" s="11" t="n"/>
      <c r="AA97" s="11" t="n"/>
      <c r="AB97" s="11" t="n"/>
      <c r="AC97" s="10" t="n"/>
      <c r="AD97" s="11" t="n"/>
      <c r="AE97" s="11" t="n"/>
      <c r="AF97" s="11" t="n"/>
      <c r="AG97" s="14" t="n"/>
      <c r="AH97" s="11" t="n"/>
      <c r="AI97" s="14" t="n"/>
      <c r="AJ97" s="13" t="n"/>
      <c r="AK97" s="11" t="n"/>
      <c r="AL97" s="13">
        <f>IF(X97="","",IF(AN97="Received",0,X97-IF(AJ97&lt;&gt;"",AJ97,0)))</f>
        <v/>
      </c>
      <c r="AM97" s="13" t="n"/>
      <c r="AN97" s="11" t="n"/>
      <c r="AO97" s="11" t="n"/>
      <c r="AP97" s="13" t="n"/>
      <c r="AQ97" s="11">
        <f>IF(B97&lt;&gt;"","INV-"&amp;TEXT(ROW()-3,"0000"),"")</f>
        <v/>
      </c>
      <c r="AR97" s="11" t="n"/>
    </row>
    <row r="98">
      <c r="A98" s="7">
        <f>IF(B98&lt;&gt;"",ROW()-3,"")</f>
        <v/>
      </c>
      <c r="B98" s="8" t="n"/>
      <c r="C98" s="9">
        <f>IF(B98&lt;&gt;"","ST-"&amp;TEXT(ROW()-3,"0000"),"")</f>
        <v/>
      </c>
      <c r="D98" s="10" t="n"/>
      <c r="E98" s="11" t="n"/>
      <c r="F98" s="11" t="n"/>
      <c r="G98" s="11" t="n"/>
      <c r="H98" s="10" t="n"/>
      <c r="I98" s="11" t="n"/>
      <c r="J98" s="10" t="n"/>
      <c r="K98" s="10" t="n"/>
      <c r="L98" s="11" t="n"/>
      <c r="M98" s="12" t="n"/>
      <c r="N98" s="11" t="n"/>
      <c r="O98" s="13" t="n"/>
      <c r="P98" s="11" t="n"/>
      <c r="Q98" s="13" t="n"/>
      <c r="R98" s="11" t="n"/>
      <c r="S98" s="13" t="n"/>
      <c r="T98" s="11" t="n"/>
      <c r="U98" s="13" t="n"/>
      <c r="V98" s="13">
        <f>IF(COUNTA(N98)&gt;0,SUM(O98,Q98,S98,U98),"")</f>
        <v/>
      </c>
      <c r="W98" s="13" t="n"/>
      <c r="X98" s="13">
        <f>IF(V98&lt;&gt;"",V98-IF(W98&lt;&gt;"",W98,0),"")</f>
        <v/>
      </c>
      <c r="Y98" s="14" t="n"/>
      <c r="Z98" s="11" t="n"/>
      <c r="AA98" s="11" t="n"/>
      <c r="AB98" s="11" t="n"/>
      <c r="AC98" s="10" t="n"/>
      <c r="AD98" s="11" t="n"/>
      <c r="AE98" s="11" t="n"/>
      <c r="AF98" s="11" t="n"/>
      <c r="AG98" s="14" t="n"/>
      <c r="AH98" s="11" t="n"/>
      <c r="AI98" s="14" t="n"/>
      <c r="AJ98" s="13" t="n"/>
      <c r="AK98" s="11" t="n"/>
      <c r="AL98" s="13">
        <f>IF(X98="","",IF(AN98="Received",0,X98-IF(AJ98&lt;&gt;"",AJ98,0)))</f>
        <v/>
      </c>
      <c r="AM98" s="13" t="n"/>
      <c r="AN98" s="11" t="n"/>
      <c r="AO98" s="11" t="n"/>
      <c r="AP98" s="13" t="n"/>
      <c r="AQ98" s="11">
        <f>IF(B98&lt;&gt;"","INV-"&amp;TEXT(ROW()-3,"0000"),"")</f>
        <v/>
      </c>
      <c r="AR98" s="11" t="n"/>
    </row>
    <row r="99">
      <c r="A99" s="7">
        <f>IF(B99&lt;&gt;"",ROW()-3,"")</f>
        <v/>
      </c>
      <c r="B99" s="8" t="n"/>
      <c r="C99" s="9">
        <f>IF(B99&lt;&gt;"","ST-"&amp;TEXT(ROW()-3,"0000"),"")</f>
        <v/>
      </c>
      <c r="D99" s="10" t="n"/>
      <c r="E99" s="11" t="n"/>
      <c r="F99" s="11" t="n"/>
      <c r="G99" s="11" t="n"/>
      <c r="H99" s="10" t="n"/>
      <c r="I99" s="11" t="n"/>
      <c r="J99" s="10" t="n"/>
      <c r="K99" s="10" t="n"/>
      <c r="L99" s="11" t="n"/>
      <c r="M99" s="12" t="n"/>
      <c r="N99" s="11" t="n"/>
      <c r="O99" s="13" t="n"/>
      <c r="P99" s="11" t="n"/>
      <c r="Q99" s="13" t="n"/>
      <c r="R99" s="11" t="n"/>
      <c r="S99" s="13" t="n"/>
      <c r="T99" s="11" t="n"/>
      <c r="U99" s="13" t="n"/>
      <c r="V99" s="13">
        <f>IF(COUNTA(N99)&gt;0,SUM(O99,Q99,S99,U99),"")</f>
        <v/>
      </c>
      <c r="W99" s="13" t="n"/>
      <c r="X99" s="13">
        <f>IF(V99&lt;&gt;"",V99-IF(W99&lt;&gt;"",W99,0),"")</f>
        <v/>
      </c>
      <c r="Y99" s="14" t="n"/>
      <c r="Z99" s="11" t="n"/>
      <c r="AA99" s="11" t="n"/>
      <c r="AB99" s="11" t="n"/>
      <c r="AC99" s="10" t="n"/>
      <c r="AD99" s="11" t="n"/>
      <c r="AE99" s="11" t="n"/>
      <c r="AF99" s="11" t="n"/>
      <c r="AG99" s="14" t="n"/>
      <c r="AH99" s="11" t="n"/>
      <c r="AI99" s="14" t="n"/>
      <c r="AJ99" s="13" t="n"/>
      <c r="AK99" s="11" t="n"/>
      <c r="AL99" s="13">
        <f>IF(X99="","",IF(AN99="Received",0,X99-IF(AJ99&lt;&gt;"",AJ99,0)))</f>
        <v/>
      </c>
      <c r="AM99" s="13" t="n"/>
      <c r="AN99" s="11" t="n"/>
      <c r="AO99" s="11" t="n"/>
      <c r="AP99" s="13" t="n"/>
      <c r="AQ99" s="11">
        <f>IF(B99&lt;&gt;"","INV-"&amp;TEXT(ROW()-3,"0000"),"")</f>
        <v/>
      </c>
      <c r="AR99" s="11" t="n"/>
    </row>
    <row r="100">
      <c r="A100" s="7">
        <f>IF(B100&lt;&gt;"",ROW()-3,"")</f>
        <v/>
      </c>
      <c r="B100" s="8" t="n"/>
      <c r="C100" s="9">
        <f>IF(B100&lt;&gt;"","ST-"&amp;TEXT(ROW()-3,"0000"),"")</f>
        <v/>
      </c>
      <c r="D100" s="10" t="n"/>
      <c r="E100" s="11" t="n"/>
      <c r="F100" s="11" t="n"/>
      <c r="G100" s="11" t="n"/>
      <c r="H100" s="10" t="n"/>
      <c r="I100" s="11" t="n"/>
      <c r="J100" s="10" t="n"/>
      <c r="K100" s="10" t="n"/>
      <c r="L100" s="11" t="n"/>
      <c r="M100" s="12" t="n"/>
      <c r="N100" s="11" t="n"/>
      <c r="O100" s="13" t="n"/>
      <c r="P100" s="11" t="n"/>
      <c r="Q100" s="13" t="n"/>
      <c r="R100" s="11" t="n"/>
      <c r="S100" s="13" t="n"/>
      <c r="T100" s="11" t="n"/>
      <c r="U100" s="13" t="n"/>
      <c r="V100" s="13">
        <f>IF(COUNTA(N100)&gt;0,SUM(O100,Q100,S100,U100),"")</f>
        <v/>
      </c>
      <c r="W100" s="13" t="n"/>
      <c r="X100" s="13">
        <f>IF(V100&lt;&gt;"",V100-IF(W100&lt;&gt;"",W100,0),"")</f>
        <v/>
      </c>
      <c r="Y100" s="14" t="n"/>
      <c r="Z100" s="11" t="n"/>
      <c r="AA100" s="11" t="n"/>
      <c r="AB100" s="11" t="n"/>
      <c r="AC100" s="10" t="n"/>
      <c r="AD100" s="11" t="n"/>
      <c r="AE100" s="11" t="n"/>
      <c r="AF100" s="11" t="n"/>
      <c r="AG100" s="14" t="n"/>
      <c r="AH100" s="11" t="n"/>
      <c r="AI100" s="14" t="n"/>
      <c r="AJ100" s="13" t="n"/>
      <c r="AK100" s="11" t="n"/>
      <c r="AL100" s="13">
        <f>IF(X100="","",IF(AN100="Received",0,X100-IF(AJ100&lt;&gt;"",AJ100,0)))</f>
        <v/>
      </c>
      <c r="AM100" s="13" t="n"/>
      <c r="AN100" s="11" t="n"/>
      <c r="AO100" s="11" t="n"/>
      <c r="AP100" s="13" t="n"/>
      <c r="AQ100" s="11">
        <f>IF(B100&lt;&gt;"","INV-"&amp;TEXT(ROW()-3,"0000"),"")</f>
        <v/>
      </c>
      <c r="AR100" s="11" t="n"/>
    </row>
  </sheetData>
  <autoFilter ref="A3:AR1000"/>
  <mergeCells count="2">
    <mergeCell ref="A1:AR1"/>
    <mergeCell ref="A2:AR2"/>
  </mergeCells>
  <conditionalFormatting sqref="AB4:AB1000">
    <cfRule type="cellIs" priority="1" operator="equal" dxfId="0">
      <formula>"Confirmed"</formula>
    </cfRule>
    <cfRule type="cellIs" priority="2" operator="equal" dxfId="1">
      <formula>"Pending"</formula>
    </cfRule>
    <cfRule type="cellIs" priority="3" operator="equal" dxfId="2">
      <formula>"Cancelled"</formula>
    </cfRule>
    <cfRule type="cellIs" priority="4" operator="equal" dxfId="3">
      <formula>"Scheduled"</formula>
    </cfRule>
    <cfRule type="cellIs" priority="5" operator="equal" dxfId="4">
      <formula>"Completed"</formula>
    </cfRule>
    <cfRule type="cellIs" priority="6" operator="equal" dxfId="5">
      <formula>"Refunded"</formula>
    </cfRule>
  </conditionalFormatting>
  <conditionalFormatting sqref="AN4:AN1000">
    <cfRule type="cellIs" priority="7" operator="equal" dxfId="0">
      <formula>"Received"</formula>
    </cfRule>
    <cfRule type="cellIs" priority="8" operator="equal" dxfId="2">
      <formula>"Pending"</formula>
    </cfRule>
  </conditionalFormatting>
  <conditionalFormatting sqref="AK4:AK1000">
    <cfRule type="cellIs" priority="9" operator="equal" dxfId="0">
      <formula>"Received"</formula>
    </cfRule>
    <cfRule type="cellIs" priority="10" operator="equal" dxfId="1">
      <formula>"NIL"</formula>
    </cfRule>
    <cfRule type="cellIs" priority="11" operator="equal" dxfId="6">
      <formula>"Cleared"</formula>
    </cfRule>
  </conditionalFormatting>
  <conditionalFormatting sqref="A4:AR1000">
    <cfRule type="expression" priority="12" dxfId="7">
      <formula>$AB4="Confirmed"</formula>
    </cfRule>
    <cfRule type="expression" priority="13" dxfId="8">
      <formula>$AB4="Pending"</formula>
    </cfRule>
    <cfRule type="expression" priority="14" dxfId="9">
      <formula>$AB4="Cancelled"</formula>
    </cfRule>
    <cfRule type="expression" priority="15" dxfId="10">
      <formula>$AB4="Scheduled"</formula>
    </cfRule>
    <cfRule type="expression" priority="16" dxfId="11">
      <formula>$AB4="Completed"</formula>
    </cfRule>
    <cfRule type="expression" priority="17" dxfId="12">
      <formula>$AB4="Refunded"</formula>
    </cfRule>
  </conditionalFormatting>
  <dataValidations count="17">
    <dataValidation sqref="I4:I1000" showDropDown="0" showInputMessage="0" showErrorMessage="1" allowBlank="1" type="list">
      <formula1>"Bangalore,Mumbai,Delhi,Hyderabad,Chennai,Pune,Other"</formula1>
    </dataValidation>
    <dataValidation sqref="J4:J1000" showDropDown="0" showInputMessage="0" showErrorMessage="1" allowBlank="1" type="list">
      <formula1>"Indiranagar,Koramangala,HSR Layout,Whitefield,JP Nagar,BTM Layout,Electronic City,MG Road,Marathahalli,Banashankari,Other"</formula1>
    </dataValidation>
    <dataValidation sqref="L4:L1000" showDropDown="0" showInputMessage="0" showErrorMessage="1" allowBlank="1" type="list">
      <formula1>"1BHK,2BHK,3BHK,4BHK,4+BHK,Not Applicable"</formula1>
    </dataValidation>
    <dataValidation sqref="N4:N1000" showDropDown="0" showInputMessage="0" showErrorMessage="1" allowBlank="1" type="list">
      <formula1>"Bathroom Cleaning,Kitchen Cleaning,Full Home Cleaning,Rental Property Cleaning,Ready to Move In Cleaning,Painting,Pest Control,Plumbing,Electrician,Other"</formula1>
    </dataValidation>
    <dataValidation sqref="P4:P1000" showDropDown="0" showInputMessage="0" showErrorMessage="1" allowBlank="1" type="list">
      <formula1>"Bathroom Cleaning,Kitchen Cleaning,Full Home Cleaning,Rental Property Cleaning,Ready to Move In Cleaning,Painting,Pest Control,Plumbing,Electrician,Other"</formula1>
    </dataValidation>
    <dataValidation sqref="R4:R1000" showDropDown="0" showInputMessage="0" showErrorMessage="1" allowBlank="1" type="list">
      <formula1>"Bathroom Cleaning,Kitchen Cleaning,Full Home Cleaning,Rental Property Cleaning,Ready to Move In Cleaning,Painting,Pest Control,Plumbing,Electrician,Other"</formula1>
    </dataValidation>
    <dataValidation sqref="T4:T1000" showDropDown="0" showInputMessage="0" showErrorMessage="1" allowBlank="1" type="list">
      <formula1>"Bathroom Cleaning,Kitchen Cleaning,Full Home Cleaning,Rental Property Cleaning,Ready to Move In Cleaning,Painting,Pest Control,Plumbing,Electrician,Other"</formula1>
    </dataValidation>
    <dataValidation sqref="Z4:Z1000" showDropDown="0" showInputMessage="0" showErrorMessage="1" allowBlank="1" type="list">
      <formula1>"Morning 8-10,Morning 10-12,Afternoon 12-2,Afternoon 2-4,Evening 4-6,Evening 6-8"</formula1>
    </dataValidation>
    <dataValidation sqref="AA4:AA1000" showDropDown="0" showInputMessage="0" showErrorMessage="1" allowBlank="1" type="list">
      <formula1>"Website,Instagram,JustDial,Google,Referral,WhatsApp,Walk-in,Other"</formula1>
    </dataValidation>
    <dataValidation sqref="AB4:AB1000" showDropDown="0" showInputMessage="0" showErrorMessage="1" allowBlank="1" type="list">
      <formula1>"Confirmed,Pending,Cancelled,Scheduled,Completed,Refunded"</formula1>
    </dataValidation>
    <dataValidation sqref="AH4:AH1000" showDropDown="0" showInputMessage="0" showErrorMessage="1" allowBlank="1" type="list">
      <formula1>"Morning 8-10,Morning 10-12,Afternoon 12-2,Afternoon 2-4,Evening 4-6,Evening 6-8"</formula1>
    </dataValidation>
    <dataValidation sqref="AK4:AK1000" showDropDown="0" showInputMessage="0" showErrorMessage="1" allowBlank="1" type="list">
      <formula1>"Received,NIL,Cleared"</formula1>
    </dataValidation>
    <dataValidation sqref="AN4:AN1000" showDropDown="0" showInputMessage="0" showErrorMessage="1" allowBlank="1" type="list">
      <formula1>"Received,Pending"</formula1>
    </dataValidation>
    <dataValidation sqref="AO4:AO1000" showDropDown="0" showInputMessage="0" showErrorMessage="1" allowBlank="1" type="list">
      <formula1>"Cash,UPI,Debit Card,Payment Gateway,Bank Transfer,Other"</formula1>
    </dataValidation>
    <dataValidation sqref="Y4:Y1000" showDropDown="0" showInputMessage="1" showErrorMessage="1" allowBlank="1" promptTitle="Select Date" prompt="Click to open calendar picker" type="date" operator="between">
      <formula1>2020-01-01</formula1>
      <formula2>2035-12-31</formula2>
    </dataValidation>
    <dataValidation sqref="AG4:AG1000" showDropDown="0" showInputMessage="1" showErrorMessage="1" allowBlank="1" promptTitle="Select Date" prompt="Click to open calendar picker" type="date" operator="between">
      <formula1>2020-01-01</formula1>
      <formula2>2035-12-31</formula2>
    </dataValidation>
    <dataValidation sqref="AI4:AI1000" showDropDown="0" showInputMessage="1" showErrorMessage="1" allowBlank="1" promptTitle="Select Date" prompt="Click to open calendar picker" type="date" operator="between">
      <formula1>2020-01-01</formula1>
      <formula2>2035-12-31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A1:N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5" customHeight="1">
      <c r="A1" s="1" t="inlineStr">
        <is>
          <t>DASHBOARD — BUSINESS ANALYTICS &amp; STATS</t>
        </is>
      </c>
    </row>
    <row r="2" ht="28" customHeight="1">
      <c r="A2" s="5" t="inlineStr">
        <is>
          <t>Auto-updated analytics from Lead Tracker data</t>
        </is>
      </c>
    </row>
    <row r="4">
      <c r="A4" s="15" t="inlineStr">
        <is>
          <t>STATUS COLORS:</t>
        </is>
      </c>
      <c r="B4" s="16" t="inlineStr">
        <is>
          <t>Confirmed</t>
        </is>
      </c>
      <c r="C4" s="17" t="inlineStr">
        <is>
          <t>Pending</t>
        </is>
      </c>
      <c r="D4" s="18" t="inlineStr">
        <is>
          <t>Cancelled</t>
        </is>
      </c>
      <c r="E4" s="19" t="inlineStr">
        <is>
          <t>Scheduled</t>
        </is>
      </c>
      <c r="F4" s="20" t="inlineStr">
        <is>
          <t>Completed</t>
        </is>
      </c>
      <c r="G4" s="21" t="inlineStr">
        <is>
          <t>Refunded</t>
        </is>
      </c>
    </row>
    <row r="6">
      <c r="A6" s="22" t="inlineStr">
        <is>
          <t>ORDER STATISTICS</t>
        </is>
      </c>
    </row>
    <row r="7">
      <c r="A7" s="6" t="inlineStr">
        <is>
          <t>Total Orders</t>
        </is>
      </c>
      <c r="B7" s="6" t="inlineStr">
        <is>
          <t>Confirmed</t>
        </is>
      </c>
      <c r="C7" s="6" t="inlineStr">
        <is>
          <t>Pending</t>
        </is>
      </c>
      <c r="D7" s="6" t="inlineStr">
        <is>
          <t>Cancelled</t>
        </is>
      </c>
      <c r="E7" s="6" t="inlineStr">
        <is>
          <t>Scheduled</t>
        </is>
      </c>
      <c r="F7" s="6" t="inlineStr">
        <is>
          <t>Completed</t>
        </is>
      </c>
      <c r="G7" s="6" t="inlineStr">
        <is>
          <t>Refunded</t>
        </is>
      </c>
    </row>
    <row r="8" ht="50" customHeight="1">
      <c r="A8" s="23">
        <f>COUNTIF('Lead Tracker'!C4:C1000,"ST-*")</f>
        <v/>
      </c>
      <c r="B8" s="24">
        <f>COUNTIF('Lead Tracker'!AB4:AB1000,"Confirmed")</f>
        <v/>
      </c>
      <c r="C8" s="25">
        <f>COUNTIF('Lead Tracker'!AB4:AB1000,"Pending")</f>
        <v/>
      </c>
      <c r="D8" s="26">
        <f>COUNTIF('Lead Tracker'!AB4:AB1000,"Cancelled")</f>
        <v/>
      </c>
      <c r="E8" s="27">
        <f>COUNTIF('Lead Tracker'!AB4:AB1000,"Scheduled")</f>
        <v/>
      </c>
      <c r="F8" s="28">
        <f>COUNTIF('Lead Tracker'!AB4:AB1000,"Completed")</f>
        <v/>
      </c>
      <c r="G8" s="29">
        <f>COUNTIF('Lead Tracker'!AB4:AB1000,"Refunded")</f>
        <v/>
      </c>
    </row>
    <row r="10">
      <c r="A10" s="22" t="inlineStr">
        <is>
          <t>PAYMENT SUMMARY</t>
        </is>
      </c>
    </row>
    <row r="11">
      <c r="A11" s="6" t="inlineStr">
        <is>
          <t>Total Quoted</t>
        </is>
      </c>
      <c r="B11" s="6" t="inlineStr">
        <is>
          <t>Total Received</t>
        </is>
      </c>
      <c r="C11" s="6" t="inlineStr">
        <is>
          <t>Total Pending</t>
        </is>
      </c>
      <c r="D11" s="6" t="inlineStr">
        <is>
          <t>Cash Received</t>
        </is>
      </c>
      <c r="E11" s="6" t="inlineStr">
        <is>
          <t>UPI Received</t>
        </is>
      </c>
      <c r="F11" s="6" t="inlineStr">
        <is>
          <t>Card / Gateway</t>
        </is>
      </c>
      <c r="G11" s="6" t="inlineStr">
        <is>
          <t>Total Advance</t>
        </is>
      </c>
      <c r="H11" s="6" t="inlineStr">
        <is>
          <t>Total Refunds</t>
        </is>
      </c>
    </row>
    <row r="12" ht="40" customHeight="1">
      <c r="A12" s="30">
        <f>SUMPRODUCT(('Lead Tracker'!X4:X1000&lt;&gt;"")*('Lead Tracker'!X4:X1000))</f>
        <v/>
      </c>
      <c r="B12" s="30">
        <f>SUMPRODUCT(('Lead Tracker'!AN4:AN1000="Received")*('Lead Tracker'!AM4:AM1000))</f>
        <v/>
      </c>
      <c r="C12" s="30">
        <f>SUMPRODUCT(('Lead Tracker'!AN4:AN1000="Pending")*('Lead Tracker'!AM4:AM1000))</f>
        <v/>
      </c>
      <c r="D12" s="30">
        <f>SUMPRODUCT(('Lead Tracker'!AO4:AO1000="Cash")*('Lead Tracker'!AN4:AN1000="Received")*('Lead Tracker'!AM4:AM1000))</f>
        <v/>
      </c>
      <c r="E12" s="30">
        <f>SUMPRODUCT(('Lead Tracker'!AO4:AO1000="UPI")*('Lead Tracker'!AN4:AN1000="Received")*('Lead Tracker'!AM4:AM1000))</f>
        <v/>
      </c>
      <c r="F12" s="30">
        <f>SUMPRODUCT((('Lead Tracker'!AO4:AO1000="Debit Card")+('Lead Tracker'!AO4:AO1000="Payment Gateway"))*('Lead Tracker'!AN4:AN1000="Received")*('Lead Tracker'!AM4:AM1000))</f>
        <v/>
      </c>
      <c r="G12" s="30">
        <f>SUMPRODUCT(('Lead Tracker'!AK4:AK1000="Received")*('Lead Tracker'!AJ4:AJ1000))</f>
        <v/>
      </c>
      <c r="H12" s="30">
        <f>SUM('Lead Tracker'!AP4:AP1000)</f>
        <v/>
      </c>
    </row>
    <row r="14">
      <c r="A14" s="22" t="inlineStr">
        <is>
          <t>DISCOUNT SUMMARY</t>
        </is>
      </c>
    </row>
    <row r="15">
      <c r="A15" s="6" t="inlineStr">
        <is>
          <t>Orders with Discount</t>
        </is>
      </c>
      <c r="B15" s="6" t="inlineStr">
        <is>
          <t>Total Discount Given</t>
        </is>
      </c>
      <c r="C15" s="6" t="inlineStr">
        <is>
          <t>Avg Discount</t>
        </is>
      </c>
    </row>
    <row r="16" ht="40" customHeight="1">
      <c r="A16" s="31">
        <f>COUNTIF('Lead Tracker'!W4:W1000,"&gt;"&amp;0)</f>
        <v/>
      </c>
      <c r="B16" s="30">
        <f>SUM('Lead Tracker'!W4:W1000)</f>
        <v/>
      </c>
      <c r="C16" s="30">
        <f>IFERROR(AVERAGEIF('Lead Tracker'!W4:W1000,"&gt;"&amp;0),0)</f>
        <v/>
      </c>
    </row>
    <row r="18">
      <c r="A18" s="22" t="inlineStr">
        <is>
          <t>ORDER SOURCE TRACKING</t>
        </is>
      </c>
    </row>
    <row r="19">
      <c r="A19" s="6" t="inlineStr">
        <is>
          <t>Source</t>
        </is>
      </c>
      <c r="B19" s="6" t="inlineStr">
        <is>
          <t>Total Orders</t>
        </is>
      </c>
      <c r="C19" s="6" t="inlineStr">
        <is>
          <t>Confirmed</t>
        </is>
      </c>
      <c r="D19" s="6" t="inlineStr">
        <is>
          <t>Completed</t>
        </is>
      </c>
      <c r="E19" s="6" t="inlineStr">
        <is>
          <t>Revenue</t>
        </is>
      </c>
    </row>
    <row r="20">
      <c r="A20" s="32" t="inlineStr">
        <is>
          <t>Website</t>
        </is>
      </c>
      <c r="B20" s="11">
        <f>COUNTIF('Lead Tracker'!AA4:AA1000,A20)</f>
        <v/>
      </c>
      <c r="C20" s="11">
        <f>COUNTIFS('Lead Tracker'!AA4:AA1000,A20,'Lead Tracker'!AB4:AB1000,"Confirmed")</f>
        <v/>
      </c>
      <c r="D20" s="11">
        <f>COUNTIFS('Lead Tracker'!AA4:AA1000,A20,'Lead Tracker'!AB4:AB1000,"Completed")</f>
        <v/>
      </c>
      <c r="E20" s="13">
        <f>SUMPRODUCT(('Lead Tracker'!AA4:AA1000=A20)*('Lead Tracker'!AN4:AN1000="Received")*('Lead Tracker'!AM4:AM1000))</f>
        <v/>
      </c>
    </row>
    <row r="21">
      <c r="A21" s="32" t="inlineStr">
        <is>
          <t>Instagram</t>
        </is>
      </c>
      <c r="B21" s="11">
        <f>COUNTIF('Lead Tracker'!AA4:AA1000,A21)</f>
        <v/>
      </c>
      <c r="C21" s="11">
        <f>COUNTIFS('Lead Tracker'!AA4:AA1000,A21,'Lead Tracker'!AB4:AB1000,"Confirmed")</f>
        <v/>
      </c>
      <c r="D21" s="11">
        <f>COUNTIFS('Lead Tracker'!AA4:AA1000,A21,'Lead Tracker'!AB4:AB1000,"Completed")</f>
        <v/>
      </c>
      <c r="E21" s="13">
        <f>SUMPRODUCT(('Lead Tracker'!AA4:AA1000=A21)*('Lead Tracker'!AN4:AN1000="Received")*('Lead Tracker'!AM4:AM1000))</f>
        <v/>
      </c>
    </row>
    <row r="22">
      <c r="A22" s="32" t="inlineStr">
        <is>
          <t>JustDial</t>
        </is>
      </c>
      <c r="B22" s="11">
        <f>COUNTIF('Lead Tracker'!AA4:AA1000,A22)</f>
        <v/>
      </c>
      <c r="C22" s="11">
        <f>COUNTIFS('Lead Tracker'!AA4:AA1000,A22,'Lead Tracker'!AB4:AB1000,"Confirmed")</f>
        <v/>
      </c>
      <c r="D22" s="11">
        <f>COUNTIFS('Lead Tracker'!AA4:AA1000,A22,'Lead Tracker'!AB4:AB1000,"Completed")</f>
        <v/>
      </c>
      <c r="E22" s="13">
        <f>SUMPRODUCT(('Lead Tracker'!AA4:AA1000=A22)*('Lead Tracker'!AN4:AN1000="Received")*('Lead Tracker'!AM4:AM1000))</f>
        <v/>
      </c>
    </row>
    <row r="23">
      <c r="A23" s="32" t="inlineStr">
        <is>
          <t>Google</t>
        </is>
      </c>
      <c r="B23" s="11">
        <f>COUNTIF('Lead Tracker'!AA4:AA1000,A23)</f>
        <v/>
      </c>
      <c r="C23" s="11">
        <f>COUNTIFS('Lead Tracker'!AA4:AA1000,A23,'Lead Tracker'!AB4:AB1000,"Confirmed")</f>
        <v/>
      </c>
      <c r="D23" s="11">
        <f>COUNTIFS('Lead Tracker'!AA4:AA1000,A23,'Lead Tracker'!AB4:AB1000,"Completed")</f>
        <v/>
      </c>
      <c r="E23" s="13">
        <f>SUMPRODUCT(('Lead Tracker'!AA4:AA1000=A23)*('Lead Tracker'!AN4:AN1000="Received")*('Lead Tracker'!AM4:AM1000))</f>
        <v/>
      </c>
    </row>
    <row r="24">
      <c r="A24" s="32" t="inlineStr">
        <is>
          <t>Referral</t>
        </is>
      </c>
      <c r="B24" s="11">
        <f>COUNTIF('Lead Tracker'!AA4:AA1000,A24)</f>
        <v/>
      </c>
      <c r="C24" s="11">
        <f>COUNTIFS('Lead Tracker'!AA4:AA1000,A24,'Lead Tracker'!AB4:AB1000,"Confirmed")</f>
        <v/>
      </c>
      <c r="D24" s="11">
        <f>COUNTIFS('Lead Tracker'!AA4:AA1000,A24,'Lead Tracker'!AB4:AB1000,"Completed")</f>
        <v/>
      </c>
      <c r="E24" s="13">
        <f>SUMPRODUCT(('Lead Tracker'!AA4:AA1000=A24)*('Lead Tracker'!AN4:AN1000="Received")*('Lead Tracker'!AM4:AM1000))</f>
        <v/>
      </c>
    </row>
    <row r="25">
      <c r="A25" s="32" t="inlineStr">
        <is>
          <t>WhatsApp</t>
        </is>
      </c>
      <c r="B25" s="11">
        <f>COUNTIF('Lead Tracker'!AA4:AA1000,A25)</f>
        <v/>
      </c>
      <c r="C25" s="11">
        <f>COUNTIFS('Lead Tracker'!AA4:AA1000,A25,'Lead Tracker'!AB4:AB1000,"Confirmed")</f>
        <v/>
      </c>
      <c r="D25" s="11">
        <f>COUNTIFS('Lead Tracker'!AA4:AA1000,A25,'Lead Tracker'!AB4:AB1000,"Completed")</f>
        <v/>
      </c>
      <c r="E25" s="13">
        <f>SUMPRODUCT(('Lead Tracker'!AA4:AA1000=A25)*('Lead Tracker'!AN4:AN1000="Received")*('Lead Tracker'!AM4:AM1000))</f>
        <v/>
      </c>
    </row>
    <row r="26">
      <c r="A26" s="32" t="inlineStr">
        <is>
          <t>Walk-in</t>
        </is>
      </c>
      <c r="B26" s="11">
        <f>COUNTIF('Lead Tracker'!AA4:AA1000,A26)</f>
        <v/>
      </c>
      <c r="C26" s="11">
        <f>COUNTIFS('Lead Tracker'!AA4:AA1000,A26,'Lead Tracker'!AB4:AB1000,"Confirmed")</f>
        <v/>
      </c>
      <c r="D26" s="11">
        <f>COUNTIFS('Lead Tracker'!AA4:AA1000,A26,'Lead Tracker'!AB4:AB1000,"Completed")</f>
        <v/>
      </c>
      <c r="E26" s="13">
        <f>SUMPRODUCT(('Lead Tracker'!AA4:AA1000=A26)*('Lead Tracker'!AN4:AN1000="Received")*('Lead Tracker'!AM4:AM1000))</f>
        <v/>
      </c>
    </row>
    <row r="27">
      <c r="A27" s="32" t="inlineStr">
        <is>
          <t>Other</t>
        </is>
      </c>
      <c r="B27" s="11">
        <f>COUNTIF('Lead Tracker'!AA4:AA1000,A27)</f>
        <v/>
      </c>
      <c r="C27" s="11">
        <f>COUNTIFS('Lead Tracker'!AA4:AA1000,A27,'Lead Tracker'!AB4:AB1000,"Confirmed")</f>
        <v/>
      </c>
      <c r="D27" s="11">
        <f>COUNTIFS('Lead Tracker'!AA4:AA1000,A27,'Lead Tracker'!AB4:AB1000,"Completed")</f>
        <v/>
      </c>
      <c r="E27" s="13">
        <f>SUMPRODUCT(('Lead Tracker'!AA4:AA1000=A27)*('Lead Tracker'!AN4:AN1000="Received")*('Lead Tracker'!AM4:AM1000))</f>
        <v/>
      </c>
    </row>
    <row r="28">
      <c r="A28" s="6" t="inlineStr">
        <is>
          <t>TOTAL</t>
        </is>
      </c>
      <c r="B28" s="33">
        <f>SUM(B20:B27)</f>
        <v/>
      </c>
      <c r="C28" s="33">
        <f>SUM(C20:C27)</f>
        <v/>
      </c>
      <c r="D28" s="33">
        <f>SUM(D20:D27)</f>
        <v/>
      </c>
      <c r="E28" s="34">
        <f>SUM(E20:E27)</f>
        <v/>
      </c>
    </row>
    <row r="30">
      <c r="A30" s="22" t="inlineStr">
        <is>
          <t>SERVICE-WISE BREAKDOWN</t>
        </is>
      </c>
    </row>
    <row r="31">
      <c r="A31" s="6" t="inlineStr">
        <is>
          <t>Service</t>
        </is>
      </c>
      <c r="B31" s="6" t="inlineStr">
        <is>
          <t>Total Orders</t>
        </is>
      </c>
      <c r="C31" s="6" t="inlineStr">
        <is>
          <t>Confirmed</t>
        </is>
      </c>
      <c r="D31" s="6" t="inlineStr">
        <is>
          <t>Scheduled</t>
        </is>
      </c>
      <c r="E31" s="6" t="inlineStr">
        <is>
          <t>Completed</t>
        </is>
      </c>
      <c r="F31" s="6" t="inlineStr">
        <is>
          <t>Pending</t>
        </is>
      </c>
      <c r="G31" s="6" t="inlineStr">
        <is>
          <t>Cancelled</t>
        </is>
      </c>
      <c r="H31" s="6" t="inlineStr">
        <is>
          <t>Revenue</t>
        </is>
      </c>
    </row>
    <row r="32">
      <c r="A32" s="32" t="inlineStr">
        <is>
          <t>Bathroom Cleaning</t>
        </is>
      </c>
      <c r="B32" s="11">
        <f>COUNTIF('Lead Tracker'!N4:N1000,A32)+COUNTIF('Lead Tracker'!P4:P1000,A32)+COUNTIF('Lead Tracker'!R4:R1000,A32)+COUNTIF('Lead Tracker'!T4:T1000,A32)</f>
        <v/>
      </c>
      <c r="C32" s="11">
        <f>COUNTIFS('Lead Tracker'!N4:N1000,A32,'Lead Tracker'!AB4:AB1000,"Confirmed")+COUNTIFS('Lead Tracker'!P4:P1000,A32,'Lead Tracker'!AB4:AB1000,"Confirmed")+COUNTIFS('Lead Tracker'!R4:R1000,A32,'Lead Tracker'!AB4:AB1000,"Confirmed")+COUNTIFS('Lead Tracker'!T4:T1000,A32,'Lead Tracker'!AB4:AB1000,"Confirmed")</f>
        <v/>
      </c>
      <c r="D32" s="11">
        <f>COUNTIFS('Lead Tracker'!N4:N1000,A32,'Lead Tracker'!AB4:AB1000,"Scheduled")+COUNTIFS('Lead Tracker'!P4:P1000,A32,'Lead Tracker'!AB4:AB1000,"Scheduled")+COUNTIFS('Lead Tracker'!R4:R1000,A32,'Lead Tracker'!AB4:AB1000,"Scheduled")+COUNTIFS('Lead Tracker'!T4:T1000,A32,'Lead Tracker'!AB4:AB1000,"Scheduled")</f>
        <v/>
      </c>
      <c r="E32" s="11">
        <f>COUNTIFS('Lead Tracker'!N4:N1000,A32,'Lead Tracker'!AB4:AB1000,"Completed")+COUNTIFS('Lead Tracker'!P4:P1000,A32,'Lead Tracker'!AB4:AB1000,"Completed")+COUNTIFS('Lead Tracker'!R4:R1000,A32,'Lead Tracker'!AB4:AB1000,"Completed")+COUNTIFS('Lead Tracker'!T4:T1000,A32,'Lead Tracker'!AB4:AB1000,"Completed")</f>
        <v/>
      </c>
      <c r="F32" s="11">
        <f>COUNTIFS('Lead Tracker'!N4:N1000,A32,'Lead Tracker'!AB4:AB1000,"Pending")+COUNTIFS('Lead Tracker'!P4:P1000,A32,'Lead Tracker'!AB4:AB1000,"Pending")+COUNTIFS('Lead Tracker'!R4:R1000,A32,'Lead Tracker'!AB4:AB1000,"Pending")+COUNTIFS('Lead Tracker'!T4:T1000,A32,'Lead Tracker'!AB4:AB1000,"Pending")</f>
        <v/>
      </c>
      <c r="G32" s="11">
        <f>COUNTIFS('Lead Tracker'!N4:N1000,A32,'Lead Tracker'!AB4:AB1000,"Cancelled")+COUNTIFS('Lead Tracker'!P4:P1000,A32,'Lead Tracker'!AB4:AB1000,"Cancelled")+COUNTIFS('Lead Tracker'!R4:R1000,A32,'Lead Tracker'!AB4:AB1000,"Cancelled")+COUNTIFS('Lead Tracker'!T4:T1000,A32,'Lead Tracker'!AB4:AB1000,"Cancelled")</f>
        <v/>
      </c>
      <c r="H32" s="13">
        <f>SUMPRODUCT(('Lead Tracker'!N4:N1000=A32)*('Lead Tracker'!AN4:AN1000="Received")*('Lead Tracker'!O4:O1000))+SUMPRODUCT(('Lead Tracker'!P4:P1000=A32)*('Lead Tracker'!AN4:AN1000="Received")*('Lead Tracker'!Q4:Q1000))+SUMPRODUCT(('Lead Tracker'!R4:R1000=A32)*('Lead Tracker'!AN4:AN1000="Received")*('Lead Tracker'!S4:S1000))+SUMPRODUCT(('Lead Tracker'!T4:T1000=A32)*('Lead Tracker'!AN4:AN1000="Received")*('Lead Tracker'!U4:U1000))</f>
        <v/>
      </c>
    </row>
    <row r="33">
      <c r="A33" s="32" t="inlineStr">
        <is>
          <t>Kitchen Cleaning</t>
        </is>
      </c>
      <c r="B33" s="11">
        <f>COUNTIF('Lead Tracker'!N4:N1000,A33)+COUNTIF('Lead Tracker'!P4:P1000,A33)+COUNTIF('Lead Tracker'!R4:R1000,A33)+COUNTIF('Lead Tracker'!T4:T1000,A33)</f>
        <v/>
      </c>
      <c r="C33" s="11">
        <f>COUNTIFS('Lead Tracker'!N4:N1000,A33,'Lead Tracker'!AB4:AB1000,"Confirmed")+COUNTIFS('Lead Tracker'!P4:P1000,A33,'Lead Tracker'!AB4:AB1000,"Confirmed")+COUNTIFS('Lead Tracker'!R4:R1000,A33,'Lead Tracker'!AB4:AB1000,"Confirmed")+COUNTIFS('Lead Tracker'!T4:T1000,A33,'Lead Tracker'!AB4:AB1000,"Confirmed")</f>
        <v/>
      </c>
      <c r="D33" s="11">
        <f>COUNTIFS('Lead Tracker'!N4:N1000,A33,'Lead Tracker'!AB4:AB1000,"Scheduled")+COUNTIFS('Lead Tracker'!P4:P1000,A33,'Lead Tracker'!AB4:AB1000,"Scheduled")+COUNTIFS('Lead Tracker'!R4:R1000,A33,'Lead Tracker'!AB4:AB1000,"Scheduled")+COUNTIFS('Lead Tracker'!T4:T1000,A33,'Lead Tracker'!AB4:AB1000,"Scheduled")</f>
        <v/>
      </c>
      <c r="E33" s="11">
        <f>COUNTIFS('Lead Tracker'!N4:N1000,A33,'Lead Tracker'!AB4:AB1000,"Completed")+COUNTIFS('Lead Tracker'!P4:P1000,A33,'Lead Tracker'!AB4:AB1000,"Completed")+COUNTIFS('Lead Tracker'!R4:R1000,A33,'Lead Tracker'!AB4:AB1000,"Completed")+COUNTIFS('Lead Tracker'!T4:T1000,A33,'Lead Tracker'!AB4:AB1000,"Completed")</f>
        <v/>
      </c>
      <c r="F33" s="11">
        <f>COUNTIFS('Lead Tracker'!N4:N1000,A33,'Lead Tracker'!AB4:AB1000,"Pending")+COUNTIFS('Lead Tracker'!P4:P1000,A33,'Lead Tracker'!AB4:AB1000,"Pending")+COUNTIFS('Lead Tracker'!R4:R1000,A33,'Lead Tracker'!AB4:AB1000,"Pending")+COUNTIFS('Lead Tracker'!T4:T1000,A33,'Lead Tracker'!AB4:AB1000,"Pending")</f>
        <v/>
      </c>
      <c r="G33" s="11">
        <f>COUNTIFS('Lead Tracker'!N4:N1000,A33,'Lead Tracker'!AB4:AB1000,"Cancelled")+COUNTIFS('Lead Tracker'!P4:P1000,A33,'Lead Tracker'!AB4:AB1000,"Cancelled")+COUNTIFS('Lead Tracker'!R4:R1000,A33,'Lead Tracker'!AB4:AB1000,"Cancelled")+COUNTIFS('Lead Tracker'!T4:T1000,A33,'Lead Tracker'!AB4:AB1000,"Cancelled")</f>
        <v/>
      </c>
      <c r="H33" s="13">
        <f>SUMPRODUCT(('Lead Tracker'!N4:N1000=A33)*('Lead Tracker'!AN4:AN1000="Received")*('Lead Tracker'!O4:O1000))+SUMPRODUCT(('Lead Tracker'!P4:P1000=A33)*('Lead Tracker'!AN4:AN1000="Received")*('Lead Tracker'!Q4:Q1000))+SUMPRODUCT(('Lead Tracker'!R4:R1000=A33)*('Lead Tracker'!AN4:AN1000="Received")*('Lead Tracker'!S4:S1000))+SUMPRODUCT(('Lead Tracker'!T4:T1000=A33)*('Lead Tracker'!AN4:AN1000="Received")*('Lead Tracker'!U4:U1000))</f>
        <v/>
      </c>
    </row>
    <row r="34">
      <c r="A34" s="32" t="inlineStr">
        <is>
          <t>Full Home Cleaning</t>
        </is>
      </c>
      <c r="B34" s="11">
        <f>COUNTIF('Lead Tracker'!N4:N1000,A34)+COUNTIF('Lead Tracker'!P4:P1000,A34)+COUNTIF('Lead Tracker'!R4:R1000,A34)+COUNTIF('Lead Tracker'!T4:T1000,A34)</f>
        <v/>
      </c>
      <c r="C34" s="11">
        <f>COUNTIFS('Lead Tracker'!N4:N1000,A34,'Lead Tracker'!AB4:AB1000,"Confirmed")+COUNTIFS('Lead Tracker'!P4:P1000,A34,'Lead Tracker'!AB4:AB1000,"Confirmed")+COUNTIFS('Lead Tracker'!R4:R1000,A34,'Lead Tracker'!AB4:AB1000,"Confirmed")+COUNTIFS('Lead Tracker'!T4:T1000,A34,'Lead Tracker'!AB4:AB1000,"Confirmed")</f>
        <v/>
      </c>
      <c r="D34" s="11">
        <f>COUNTIFS('Lead Tracker'!N4:N1000,A34,'Lead Tracker'!AB4:AB1000,"Scheduled")+COUNTIFS('Lead Tracker'!P4:P1000,A34,'Lead Tracker'!AB4:AB1000,"Scheduled")+COUNTIFS('Lead Tracker'!R4:R1000,A34,'Lead Tracker'!AB4:AB1000,"Scheduled")+COUNTIFS('Lead Tracker'!T4:T1000,A34,'Lead Tracker'!AB4:AB1000,"Scheduled")</f>
        <v/>
      </c>
      <c r="E34" s="11">
        <f>COUNTIFS('Lead Tracker'!N4:N1000,A34,'Lead Tracker'!AB4:AB1000,"Completed")+COUNTIFS('Lead Tracker'!P4:P1000,A34,'Lead Tracker'!AB4:AB1000,"Completed")+COUNTIFS('Lead Tracker'!R4:R1000,A34,'Lead Tracker'!AB4:AB1000,"Completed")+COUNTIFS('Lead Tracker'!T4:T1000,A34,'Lead Tracker'!AB4:AB1000,"Completed")</f>
        <v/>
      </c>
      <c r="F34" s="11">
        <f>COUNTIFS('Lead Tracker'!N4:N1000,A34,'Lead Tracker'!AB4:AB1000,"Pending")+COUNTIFS('Lead Tracker'!P4:P1000,A34,'Lead Tracker'!AB4:AB1000,"Pending")+COUNTIFS('Lead Tracker'!R4:R1000,A34,'Lead Tracker'!AB4:AB1000,"Pending")+COUNTIFS('Lead Tracker'!T4:T1000,A34,'Lead Tracker'!AB4:AB1000,"Pending")</f>
        <v/>
      </c>
      <c r="G34" s="11">
        <f>COUNTIFS('Lead Tracker'!N4:N1000,A34,'Lead Tracker'!AB4:AB1000,"Cancelled")+COUNTIFS('Lead Tracker'!P4:P1000,A34,'Lead Tracker'!AB4:AB1000,"Cancelled")+COUNTIFS('Lead Tracker'!R4:R1000,A34,'Lead Tracker'!AB4:AB1000,"Cancelled")+COUNTIFS('Lead Tracker'!T4:T1000,A34,'Lead Tracker'!AB4:AB1000,"Cancelled")</f>
        <v/>
      </c>
      <c r="H34" s="13">
        <f>SUMPRODUCT(('Lead Tracker'!N4:N1000=A34)*('Lead Tracker'!AN4:AN1000="Received")*('Lead Tracker'!O4:O1000))+SUMPRODUCT(('Lead Tracker'!P4:P1000=A34)*('Lead Tracker'!AN4:AN1000="Received")*('Lead Tracker'!Q4:Q1000))+SUMPRODUCT(('Lead Tracker'!R4:R1000=A34)*('Lead Tracker'!AN4:AN1000="Received")*('Lead Tracker'!S4:S1000))+SUMPRODUCT(('Lead Tracker'!T4:T1000=A34)*('Lead Tracker'!AN4:AN1000="Received")*('Lead Tracker'!U4:U1000))</f>
        <v/>
      </c>
    </row>
    <row r="35">
      <c r="A35" s="32" t="inlineStr">
        <is>
          <t>Rental Property Cleaning</t>
        </is>
      </c>
      <c r="B35" s="11">
        <f>COUNTIF('Lead Tracker'!N4:N1000,A35)+COUNTIF('Lead Tracker'!P4:P1000,A35)+COUNTIF('Lead Tracker'!R4:R1000,A35)+COUNTIF('Lead Tracker'!T4:T1000,A35)</f>
        <v/>
      </c>
      <c r="C35" s="11">
        <f>COUNTIFS('Lead Tracker'!N4:N1000,A35,'Lead Tracker'!AB4:AB1000,"Confirmed")+COUNTIFS('Lead Tracker'!P4:P1000,A35,'Lead Tracker'!AB4:AB1000,"Confirmed")+COUNTIFS('Lead Tracker'!R4:R1000,A35,'Lead Tracker'!AB4:AB1000,"Confirmed")+COUNTIFS('Lead Tracker'!T4:T1000,A35,'Lead Tracker'!AB4:AB1000,"Confirmed")</f>
        <v/>
      </c>
      <c r="D35" s="11">
        <f>COUNTIFS('Lead Tracker'!N4:N1000,A35,'Lead Tracker'!AB4:AB1000,"Scheduled")+COUNTIFS('Lead Tracker'!P4:P1000,A35,'Lead Tracker'!AB4:AB1000,"Scheduled")+COUNTIFS('Lead Tracker'!R4:R1000,A35,'Lead Tracker'!AB4:AB1000,"Scheduled")+COUNTIFS('Lead Tracker'!T4:T1000,A35,'Lead Tracker'!AB4:AB1000,"Scheduled")</f>
        <v/>
      </c>
      <c r="E35" s="11">
        <f>COUNTIFS('Lead Tracker'!N4:N1000,A35,'Lead Tracker'!AB4:AB1000,"Completed")+COUNTIFS('Lead Tracker'!P4:P1000,A35,'Lead Tracker'!AB4:AB1000,"Completed")+COUNTIFS('Lead Tracker'!R4:R1000,A35,'Lead Tracker'!AB4:AB1000,"Completed")+COUNTIFS('Lead Tracker'!T4:T1000,A35,'Lead Tracker'!AB4:AB1000,"Completed")</f>
        <v/>
      </c>
      <c r="F35" s="11">
        <f>COUNTIFS('Lead Tracker'!N4:N1000,A35,'Lead Tracker'!AB4:AB1000,"Pending")+COUNTIFS('Lead Tracker'!P4:P1000,A35,'Lead Tracker'!AB4:AB1000,"Pending")+COUNTIFS('Lead Tracker'!R4:R1000,A35,'Lead Tracker'!AB4:AB1000,"Pending")+COUNTIFS('Lead Tracker'!T4:T1000,A35,'Lead Tracker'!AB4:AB1000,"Pending")</f>
        <v/>
      </c>
      <c r="G35" s="11">
        <f>COUNTIFS('Lead Tracker'!N4:N1000,A35,'Lead Tracker'!AB4:AB1000,"Cancelled")+COUNTIFS('Lead Tracker'!P4:P1000,A35,'Lead Tracker'!AB4:AB1000,"Cancelled")+COUNTIFS('Lead Tracker'!R4:R1000,A35,'Lead Tracker'!AB4:AB1000,"Cancelled")+COUNTIFS('Lead Tracker'!T4:T1000,A35,'Lead Tracker'!AB4:AB1000,"Cancelled")</f>
        <v/>
      </c>
      <c r="H35" s="13">
        <f>SUMPRODUCT(('Lead Tracker'!N4:N1000=A35)*('Lead Tracker'!AN4:AN1000="Received")*('Lead Tracker'!O4:O1000))+SUMPRODUCT(('Lead Tracker'!P4:P1000=A35)*('Lead Tracker'!AN4:AN1000="Received")*('Lead Tracker'!Q4:Q1000))+SUMPRODUCT(('Lead Tracker'!R4:R1000=A35)*('Lead Tracker'!AN4:AN1000="Received")*('Lead Tracker'!S4:S1000))+SUMPRODUCT(('Lead Tracker'!T4:T1000=A35)*('Lead Tracker'!AN4:AN1000="Received")*('Lead Tracker'!U4:U1000))</f>
        <v/>
      </c>
    </row>
    <row r="36">
      <c r="A36" s="32" t="inlineStr">
        <is>
          <t>Ready to Move In Cleaning</t>
        </is>
      </c>
      <c r="B36" s="11">
        <f>COUNTIF('Lead Tracker'!N4:N1000,A36)+COUNTIF('Lead Tracker'!P4:P1000,A36)+COUNTIF('Lead Tracker'!R4:R1000,A36)+COUNTIF('Lead Tracker'!T4:T1000,A36)</f>
        <v/>
      </c>
      <c r="C36" s="11">
        <f>COUNTIFS('Lead Tracker'!N4:N1000,A36,'Lead Tracker'!AB4:AB1000,"Confirmed")+COUNTIFS('Lead Tracker'!P4:P1000,A36,'Lead Tracker'!AB4:AB1000,"Confirmed")+COUNTIFS('Lead Tracker'!R4:R1000,A36,'Lead Tracker'!AB4:AB1000,"Confirmed")+COUNTIFS('Lead Tracker'!T4:T1000,A36,'Lead Tracker'!AB4:AB1000,"Confirmed")</f>
        <v/>
      </c>
      <c r="D36" s="11">
        <f>COUNTIFS('Lead Tracker'!N4:N1000,A36,'Lead Tracker'!AB4:AB1000,"Scheduled")+COUNTIFS('Lead Tracker'!P4:P1000,A36,'Lead Tracker'!AB4:AB1000,"Scheduled")+COUNTIFS('Lead Tracker'!R4:R1000,A36,'Lead Tracker'!AB4:AB1000,"Scheduled")+COUNTIFS('Lead Tracker'!T4:T1000,A36,'Lead Tracker'!AB4:AB1000,"Scheduled")</f>
        <v/>
      </c>
      <c r="E36" s="11">
        <f>COUNTIFS('Lead Tracker'!N4:N1000,A36,'Lead Tracker'!AB4:AB1000,"Completed")+COUNTIFS('Lead Tracker'!P4:P1000,A36,'Lead Tracker'!AB4:AB1000,"Completed")+COUNTIFS('Lead Tracker'!R4:R1000,A36,'Lead Tracker'!AB4:AB1000,"Completed")+COUNTIFS('Lead Tracker'!T4:T1000,A36,'Lead Tracker'!AB4:AB1000,"Completed")</f>
        <v/>
      </c>
      <c r="F36" s="11">
        <f>COUNTIFS('Lead Tracker'!N4:N1000,A36,'Lead Tracker'!AB4:AB1000,"Pending")+COUNTIFS('Lead Tracker'!P4:P1000,A36,'Lead Tracker'!AB4:AB1000,"Pending")+COUNTIFS('Lead Tracker'!R4:R1000,A36,'Lead Tracker'!AB4:AB1000,"Pending")+COUNTIFS('Lead Tracker'!T4:T1000,A36,'Lead Tracker'!AB4:AB1000,"Pending")</f>
        <v/>
      </c>
      <c r="G36" s="11">
        <f>COUNTIFS('Lead Tracker'!N4:N1000,A36,'Lead Tracker'!AB4:AB1000,"Cancelled")+COUNTIFS('Lead Tracker'!P4:P1000,A36,'Lead Tracker'!AB4:AB1000,"Cancelled")+COUNTIFS('Lead Tracker'!R4:R1000,A36,'Lead Tracker'!AB4:AB1000,"Cancelled")+COUNTIFS('Lead Tracker'!T4:T1000,A36,'Lead Tracker'!AB4:AB1000,"Cancelled")</f>
        <v/>
      </c>
      <c r="H36" s="13">
        <f>SUMPRODUCT(('Lead Tracker'!N4:N1000=A36)*('Lead Tracker'!AN4:AN1000="Received")*('Lead Tracker'!O4:O1000))+SUMPRODUCT(('Lead Tracker'!P4:P1000=A36)*('Lead Tracker'!AN4:AN1000="Received")*('Lead Tracker'!Q4:Q1000))+SUMPRODUCT(('Lead Tracker'!R4:R1000=A36)*('Lead Tracker'!AN4:AN1000="Received")*('Lead Tracker'!S4:S1000))+SUMPRODUCT(('Lead Tracker'!T4:T1000=A36)*('Lead Tracker'!AN4:AN1000="Received")*('Lead Tracker'!U4:U1000))</f>
        <v/>
      </c>
    </row>
    <row r="37">
      <c r="A37" s="32" t="inlineStr">
        <is>
          <t>Painting</t>
        </is>
      </c>
      <c r="B37" s="11">
        <f>COUNTIF('Lead Tracker'!N4:N1000,A37)+COUNTIF('Lead Tracker'!P4:P1000,A37)+COUNTIF('Lead Tracker'!R4:R1000,A37)+COUNTIF('Lead Tracker'!T4:T1000,A37)</f>
        <v/>
      </c>
      <c r="C37" s="11">
        <f>COUNTIFS('Lead Tracker'!N4:N1000,A37,'Lead Tracker'!AB4:AB1000,"Confirmed")+COUNTIFS('Lead Tracker'!P4:P1000,A37,'Lead Tracker'!AB4:AB1000,"Confirmed")+COUNTIFS('Lead Tracker'!R4:R1000,A37,'Lead Tracker'!AB4:AB1000,"Confirmed")+COUNTIFS('Lead Tracker'!T4:T1000,A37,'Lead Tracker'!AB4:AB1000,"Confirmed")</f>
        <v/>
      </c>
      <c r="D37" s="11">
        <f>COUNTIFS('Lead Tracker'!N4:N1000,A37,'Lead Tracker'!AB4:AB1000,"Scheduled")+COUNTIFS('Lead Tracker'!P4:P1000,A37,'Lead Tracker'!AB4:AB1000,"Scheduled")+COUNTIFS('Lead Tracker'!R4:R1000,A37,'Lead Tracker'!AB4:AB1000,"Scheduled")+COUNTIFS('Lead Tracker'!T4:T1000,A37,'Lead Tracker'!AB4:AB1000,"Scheduled")</f>
        <v/>
      </c>
      <c r="E37" s="11">
        <f>COUNTIFS('Lead Tracker'!N4:N1000,A37,'Lead Tracker'!AB4:AB1000,"Completed")+COUNTIFS('Lead Tracker'!P4:P1000,A37,'Lead Tracker'!AB4:AB1000,"Completed")+COUNTIFS('Lead Tracker'!R4:R1000,A37,'Lead Tracker'!AB4:AB1000,"Completed")+COUNTIFS('Lead Tracker'!T4:T1000,A37,'Lead Tracker'!AB4:AB1000,"Completed")</f>
        <v/>
      </c>
      <c r="F37" s="11">
        <f>COUNTIFS('Lead Tracker'!N4:N1000,A37,'Lead Tracker'!AB4:AB1000,"Pending")+COUNTIFS('Lead Tracker'!P4:P1000,A37,'Lead Tracker'!AB4:AB1000,"Pending")+COUNTIFS('Lead Tracker'!R4:R1000,A37,'Lead Tracker'!AB4:AB1000,"Pending")+COUNTIFS('Lead Tracker'!T4:T1000,A37,'Lead Tracker'!AB4:AB1000,"Pending")</f>
        <v/>
      </c>
      <c r="G37" s="11">
        <f>COUNTIFS('Lead Tracker'!N4:N1000,A37,'Lead Tracker'!AB4:AB1000,"Cancelled")+COUNTIFS('Lead Tracker'!P4:P1000,A37,'Lead Tracker'!AB4:AB1000,"Cancelled")+COUNTIFS('Lead Tracker'!R4:R1000,A37,'Lead Tracker'!AB4:AB1000,"Cancelled")+COUNTIFS('Lead Tracker'!T4:T1000,A37,'Lead Tracker'!AB4:AB1000,"Cancelled")</f>
        <v/>
      </c>
      <c r="H37" s="13">
        <f>SUMPRODUCT(('Lead Tracker'!N4:N1000=A37)*('Lead Tracker'!AN4:AN1000="Received")*('Lead Tracker'!O4:O1000))+SUMPRODUCT(('Lead Tracker'!P4:P1000=A37)*('Lead Tracker'!AN4:AN1000="Received")*('Lead Tracker'!Q4:Q1000))+SUMPRODUCT(('Lead Tracker'!R4:R1000=A37)*('Lead Tracker'!AN4:AN1000="Received")*('Lead Tracker'!S4:S1000))+SUMPRODUCT(('Lead Tracker'!T4:T1000=A37)*('Lead Tracker'!AN4:AN1000="Received")*('Lead Tracker'!U4:U1000))</f>
        <v/>
      </c>
    </row>
    <row r="38">
      <c r="A38" s="32" t="inlineStr">
        <is>
          <t>Pest Control</t>
        </is>
      </c>
      <c r="B38" s="11">
        <f>COUNTIF('Lead Tracker'!N4:N1000,A38)+COUNTIF('Lead Tracker'!P4:P1000,A38)+COUNTIF('Lead Tracker'!R4:R1000,A38)+COUNTIF('Lead Tracker'!T4:T1000,A38)</f>
        <v/>
      </c>
      <c r="C38" s="11">
        <f>COUNTIFS('Lead Tracker'!N4:N1000,A38,'Lead Tracker'!AB4:AB1000,"Confirmed")+COUNTIFS('Lead Tracker'!P4:P1000,A38,'Lead Tracker'!AB4:AB1000,"Confirmed")+COUNTIFS('Lead Tracker'!R4:R1000,A38,'Lead Tracker'!AB4:AB1000,"Confirmed")+COUNTIFS('Lead Tracker'!T4:T1000,A38,'Lead Tracker'!AB4:AB1000,"Confirmed")</f>
        <v/>
      </c>
      <c r="D38" s="11">
        <f>COUNTIFS('Lead Tracker'!N4:N1000,A38,'Lead Tracker'!AB4:AB1000,"Scheduled")+COUNTIFS('Lead Tracker'!P4:P1000,A38,'Lead Tracker'!AB4:AB1000,"Scheduled")+COUNTIFS('Lead Tracker'!R4:R1000,A38,'Lead Tracker'!AB4:AB1000,"Scheduled")+COUNTIFS('Lead Tracker'!T4:T1000,A38,'Lead Tracker'!AB4:AB1000,"Scheduled")</f>
        <v/>
      </c>
      <c r="E38" s="11">
        <f>COUNTIFS('Lead Tracker'!N4:N1000,A38,'Lead Tracker'!AB4:AB1000,"Completed")+COUNTIFS('Lead Tracker'!P4:P1000,A38,'Lead Tracker'!AB4:AB1000,"Completed")+COUNTIFS('Lead Tracker'!R4:R1000,A38,'Lead Tracker'!AB4:AB1000,"Completed")+COUNTIFS('Lead Tracker'!T4:T1000,A38,'Lead Tracker'!AB4:AB1000,"Completed")</f>
        <v/>
      </c>
      <c r="F38" s="11">
        <f>COUNTIFS('Lead Tracker'!N4:N1000,A38,'Lead Tracker'!AB4:AB1000,"Pending")+COUNTIFS('Lead Tracker'!P4:P1000,A38,'Lead Tracker'!AB4:AB1000,"Pending")+COUNTIFS('Lead Tracker'!R4:R1000,A38,'Lead Tracker'!AB4:AB1000,"Pending")+COUNTIFS('Lead Tracker'!T4:T1000,A38,'Lead Tracker'!AB4:AB1000,"Pending")</f>
        <v/>
      </c>
      <c r="G38" s="11">
        <f>COUNTIFS('Lead Tracker'!N4:N1000,A38,'Lead Tracker'!AB4:AB1000,"Cancelled")+COUNTIFS('Lead Tracker'!P4:P1000,A38,'Lead Tracker'!AB4:AB1000,"Cancelled")+COUNTIFS('Lead Tracker'!R4:R1000,A38,'Lead Tracker'!AB4:AB1000,"Cancelled")+COUNTIFS('Lead Tracker'!T4:T1000,A38,'Lead Tracker'!AB4:AB1000,"Cancelled")</f>
        <v/>
      </c>
      <c r="H38" s="13">
        <f>SUMPRODUCT(('Lead Tracker'!N4:N1000=A38)*('Lead Tracker'!AN4:AN1000="Received")*('Lead Tracker'!O4:O1000))+SUMPRODUCT(('Lead Tracker'!P4:P1000=A38)*('Lead Tracker'!AN4:AN1000="Received")*('Lead Tracker'!Q4:Q1000))+SUMPRODUCT(('Lead Tracker'!R4:R1000=A38)*('Lead Tracker'!AN4:AN1000="Received")*('Lead Tracker'!S4:S1000))+SUMPRODUCT(('Lead Tracker'!T4:T1000=A38)*('Lead Tracker'!AN4:AN1000="Received")*('Lead Tracker'!U4:U1000))</f>
        <v/>
      </c>
    </row>
    <row r="39">
      <c r="A39" s="32" t="inlineStr">
        <is>
          <t>Plumbing</t>
        </is>
      </c>
      <c r="B39" s="11">
        <f>COUNTIF('Lead Tracker'!N4:N1000,A39)+COUNTIF('Lead Tracker'!P4:P1000,A39)+COUNTIF('Lead Tracker'!R4:R1000,A39)+COUNTIF('Lead Tracker'!T4:T1000,A39)</f>
        <v/>
      </c>
      <c r="C39" s="11">
        <f>COUNTIFS('Lead Tracker'!N4:N1000,A39,'Lead Tracker'!AB4:AB1000,"Confirmed")+COUNTIFS('Lead Tracker'!P4:P1000,A39,'Lead Tracker'!AB4:AB1000,"Confirmed")+COUNTIFS('Lead Tracker'!R4:R1000,A39,'Lead Tracker'!AB4:AB1000,"Confirmed")+COUNTIFS('Lead Tracker'!T4:T1000,A39,'Lead Tracker'!AB4:AB1000,"Confirmed")</f>
        <v/>
      </c>
      <c r="D39" s="11">
        <f>COUNTIFS('Lead Tracker'!N4:N1000,A39,'Lead Tracker'!AB4:AB1000,"Scheduled")+COUNTIFS('Lead Tracker'!P4:P1000,A39,'Lead Tracker'!AB4:AB1000,"Scheduled")+COUNTIFS('Lead Tracker'!R4:R1000,A39,'Lead Tracker'!AB4:AB1000,"Scheduled")+COUNTIFS('Lead Tracker'!T4:T1000,A39,'Lead Tracker'!AB4:AB1000,"Scheduled")</f>
        <v/>
      </c>
      <c r="E39" s="11">
        <f>COUNTIFS('Lead Tracker'!N4:N1000,A39,'Lead Tracker'!AB4:AB1000,"Completed")+COUNTIFS('Lead Tracker'!P4:P1000,A39,'Lead Tracker'!AB4:AB1000,"Completed")+COUNTIFS('Lead Tracker'!R4:R1000,A39,'Lead Tracker'!AB4:AB1000,"Completed")+COUNTIFS('Lead Tracker'!T4:T1000,A39,'Lead Tracker'!AB4:AB1000,"Completed")</f>
        <v/>
      </c>
      <c r="F39" s="11">
        <f>COUNTIFS('Lead Tracker'!N4:N1000,A39,'Lead Tracker'!AB4:AB1000,"Pending")+COUNTIFS('Lead Tracker'!P4:P1000,A39,'Lead Tracker'!AB4:AB1000,"Pending")+COUNTIFS('Lead Tracker'!R4:R1000,A39,'Lead Tracker'!AB4:AB1000,"Pending")+COUNTIFS('Lead Tracker'!T4:T1000,A39,'Lead Tracker'!AB4:AB1000,"Pending")</f>
        <v/>
      </c>
      <c r="G39" s="11">
        <f>COUNTIFS('Lead Tracker'!N4:N1000,A39,'Lead Tracker'!AB4:AB1000,"Cancelled")+COUNTIFS('Lead Tracker'!P4:P1000,A39,'Lead Tracker'!AB4:AB1000,"Cancelled")+COUNTIFS('Lead Tracker'!R4:R1000,A39,'Lead Tracker'!AB4:AB1000,"Cancelled")+COUNTIFS('Lead Tracker'!T4:T1000,A39,'Lead Tracker'!AB4:AB1000,"Cancelled")</f>
        <v/>
      </c>
      <c r="H39" s="13">
        <f>SUMPRODUCT(('Lead Tracker'!N4:N1000=A39)*('Lead Tracker'!AN4:AN1000="Received")*('Lead Tracker'!O4:O1000))+SUMPRODUCT(('Lead Tracker'!P4:P1000=A39)*('Lead Tracker'!AN4:AN1000="Received")*('Lead Tracker'!Q4:Q1000))+SUMPRODUCT(('Lead Tracker'!R4:R1000=A39)*('Lead Tracker'!AN4:AN1000="Received")*('Lead Tracker'!S4:S1000))+SUMPRODUCT(('Lead Tracker'!T4:T1000=A39)*('Lead Tracker'!AN4:AN1000="Received")*('Lead Tracker'!U4:U1000))</f>
        <v/>
      </c>
    </row>
    <row r="40">
      <c r="A40" s="32" t="inlineStr">
        <is>
          <t>Electrician</t>
        </is>
      </c>
      <c r="B40" s="11">
        <f>COUNTIF('Lead Tracker'!N4:N1000,A40)+COUNTIF('Lead Tracker'!P4:P1000,A40)+COUNTIF('Lead Tracker'!R4:R1000,A40)+COUNTIF('Lead Tracker'!T4:T1000,A40)</f>
        <v/>
      </c>
      <c r="C40" s="11">
        <f>COUNTIFS('Lead Tracker'!N4:N1000,A40,'Lead Tracker'!AB4:AB1000,"Confirmed")+COUNTIFS('Lead Tracker'!P4:P1000,A40,'Lead Tracker'!AB4:AB1000,"Confirmed")+COUNTIFS('Lead Tracker'!R4:R1000,A40,'Lead Tracker'!AB4:AB1000,"Confirmed")+COUNTIFS('Lead Tracker'!T4:T1000,A40,'Lead Tracker'!AB4:AB1000,"Confirmed")</f>
        <v/>
      </c>
      <c r="D40" s="11">
        <f>COUNTIFS('Lead Tracker'!N4:N1000,A40,'Lead Tracker'!AB4:AB1000,"Scheduled")+COUNTIFS('Lead Tracker'!P4:P1000,A40,'Lead Tracker'!AB4:AB1000,"Scheduled")+COUNTIFS('Lead Tracker'!R4:R1000,A40,'Lead Tracker'!AB4:AB1000,"Scheduled")+COUNTIFS('Lead Tracker'!T4:T1000,A40,'Lead Tracker'!AB4:AB1000,"Scheduled")</f>
        <v/>
      </c>
      <c r="E40" s="11">
        <f>COUNTIFS('Lead Tracker'!N4:N1000,A40,'Lead Tracker'!AB4:AB1000,"Completed")+COUNTIFS('Lead Tracker'!P4:P1000,A40,'Lead Tracker'!AB4:AB1000,"Completed")+COUNTIFS('Lead Tracker'!R4:R1000,A40,'Lead Tracker'!AB4:AB1000,"Completed")+COUNTIFS('Lead Tracker'!T4:T1000,A40,'Lead Tracker'!AB4:AB1000,"Completed")</f>
        <v/>
      </c>
      <c r="F40" s="11">
        <f>COUNTIFS('Lead Tracker'!N4:N1000,A40,'Lead Tracker'!AB4:AB1000,"Pending")+COUNTIFS('Lead Tracker'!P4:P1000,A40,'Lead Tracker'!AB4:AB1000,"Pending")+COUNTIFS('Lead Tracker'!R4:R1000,A40,'Lead Tracker'!AB4:AB1000,"Pending")+COUNTIFS('Lead Tracker'!T4:T1000,A40,'Lead Tracker'!AB4:AB1000,"Pending")</f>
        <v/>
      </c>
      <c r="G40" s="11">
        <f>COUNTIFS('Lead Tracker'!N4:N1000,A40,'Lead Tracker'!AB4:AB1000,"Cancelled")+COUNTIFS('Lead Tracker'!P4:P1000,A40,'Lead Tracker'!AB4:AB1000,"Cancelled")+COUNTIFS('Lead Tracker'!R4:R1000,A40,'Lead Tracker'!AB4:AB1000,"Cancelled")+COUNTIFS('Lead Tracker'!T4:T1000,A40,'Lead Tracker'!AB4:AB1000,"Cancelled")</f>
        <v/>
      </c>
      <c r="H40" s="13">
        <f>SUMPRODUCT(('Lead Tracker'!N4:N1000=A40)*('Lead Tracker'!AN4:AN1000="Received")*('Lead Tracker'!O4:O1000))+SUMPRODUCT(('Lead Tracker'!P4:P1000=A40)*('Lead Tracker'!AN4:AN1000="Received")*('Lead Tracker'!Q4:Q1000))+SUMPRODUCT(('Lead Tracker'!R4:R1000=A40)*('Lead Tracker'!AN4:AN1000="Received")*('Lead Tracker'!S4:S1000))+SUMPRODUCT(('Lead Tracker'!T4:T1000=A40)*('Lead Tracker'!AN4:AN1000="Received")*('Lead Tracker'!U4:U1000))</f>
        <v/>
      </c>
    </row>
    <row r="41">
      <c r="A41" s="32" t="inlineStr">
        <is>
          <t>Other</t>
        </is>
      </c>
      <c r="B41" s="11">
        <f>COUNTIF('Lead Tracker'!N4:N1000,A41)+COUNTIF('Lead Tracker'!P4:P1000,A41)+COUNTIF('Lead Tracker'!R4:R1000,A41)+COUNTIF('Lead Tracker'!T4:T1000,A41)</f>
        <v/>
      </c>
      <c r="C41" s="11">
        <f>COUNTIFS('Lead Tracker'!N4:N1000,A41,'Lead Tracker'!AB4:AB1000,"Confirmed")+COUNTIFS('Lead Tracker'!P4:P1000,A41,'Lead Tracker'!AB4:AB1000,"Confirmed")+COUNTIFS('Lead Tracker'!R4:R1000,A41,'Lead Tracker'!AB4:AB1000,"Confirmed")+COUNTIFS('Lead Tracker'!T4:T1000,A41,'Lead Tracker'!AB4:AB1000,"Confirmed")</f>
        <v/>
      </c>
      <c r="D41" s="11">
        <f>COUNTIFS('Lead Tracker'!N4:N1000,A41,'Lead Tracker'!AB4:AB1000,"Scheduled")+COUNTIFS('Lead Tracker'!P4:P1000,A41,'Lead Tracker'!AB4:AB1000,"Scheduled")+COUNTIFS('Lead Tracker'!R4:R1000,A41,'Lead Tracker'!AB4:AB1000,"Scheduled")+COUNTIFS('Lead Tracker'!T4:T1000,A41,'Lead Tracker'!AB4:AB1000,"Scheduled")</f>
        <v/>
      </c>
      <c r="E41" s="11">
        <f>COUNTIFS('Lead Tracker'!N4:N1000,A41,'Lead Tracker'!AB4:AB1000,"Completed")+COUNTIFS('Lead Tracker'!P4:P1000,A41,'Lead Tracker'!AB4:AB1000,"Completed")+COUNTIFS('Lead Tracker'!R4:R1000,A41,'Lead Tracker'!AB4:AB1000,"Completed")+COUNTIFS('Lead Tracker'!T4:T1000,A41,'Lead Tracker'!AB4:AB1000,"Completed")</f>
        <v/>
      </c>
      <c r="F41" s="11">
        <f>COUNTIFS('Lead Tracker'!N4:N1000,A41,'Lead Tracker'!AB4:AB1000,"Pending")+COUNTIFS('Lead Tracker'!P4:P1000,A41,'Lead Tracker'!AB4:AB1000,"Pending")+COUNTIFS('Lead Tracker'!R4:R1000,A41,'Lead Tracker'!AB4:AB1000,"Pending")+COUNTIFS('Lead Tracker'!T4:T1000,A41,'Lead Tracker'!AB4:AB1000,"Pending")</f>
        <v/>
      </c>
      <c r="G41" s="11">
        <f>COUNTIFS('Lead Tracker'!N4:N1000,A41,'Lead Tracker'!AB4:AB1000,"Cancelled")+COUNTIFS('Lead Tracker'!P4:P1000,A41,'Lead Tracker'!AB4:AB1000,"Cancelled")+COUNTIFS('Lead Tracker'!R4:R1000,A41,'Lead Tracker'!AB4:AB1000,"Cancelled")+COUNTIFS('Lead Tracker'!T4:T1000,A41,'Lead Tracker'!AB4:AB1000,"Cancelled")</f>
        <v/>
      </c>
      <c r="H41" s="13">
        <f>SUMPRODUCT(('Lead Tracker'!N4:N1000=A41)*('Lead Tracker'!AN4:AN1000="Received")*('Lead Tracker'!O4:O1000))+SUMPRODUCT(('Lead Tracker'!P4:P1000=A41)*('Lead Tracker'!AN4:AN1000="Received")*('Lead Tracker'!Q4:Q1000))+SUMPRODUCT(('Lead Tracker'!R4:R1000=A41)*('Lead Tracker'!AN4:AN1000="Received")*('Lead Tracker'!S4:S1000))+SUMPRODUCT(('Lead Tracker'!T4:T1000=A41)*('Lead Tracker'!AN4:AN1000="Received")*('Lead Tracker'!U4:U1000))</f>
        <v/>
      </c>
    </row>
    <row r="42">
      <c r="A42" s="6" t="inlineStr">
        <is>
          <t>TOTAL</t>
        </is>
      </c>
      <c r="B42" s="33">
        <f>SUM(B32:B41)</f>
        <v/>
      </c>
      <c r="C42" s="33">
        <f>SUM(C32:C41)</f>
        <v/>
      </c>
      <c r="D42" s="33">
        <f>SUM(D32:D41)</f>
        <v/>
      </c>
      <c r="E42" s="33">
        <f>SUM(E32:E41)</f>
        <v/>
      </c>
      <c r="F42" s="33">
        <f>SUM(F32:F41)</f>
        <v/>
      </c>
      <c r="G42" s="33">
        <f>SUM(G32:G41)</f>
        <v/>
      </c>
      <c r="H42" s="34">
        <f>SUM(H32:H41)</f>
        <v/>
      </c>
    </row>
    <row r="44">
      <c r="A44" s="22" t="inlineStr">
        <is>
          <t>AREA-WISE ORDER DISTRIBUTION</t>
        </is>
      </c>
    </row>
    <row r="45">
      <c r="A45" s="6" t="inlineStr">
        <is>
          <t>Area</t>
        </is>
      </c>
      <c r="B45" s="6" t="inlineStr">
        <is>
          <t>Total Orders</t>
        </is>
      </c>
      <c r="C45" s="6" t="inlineStr">
        <is>
          <t>Confirmed</t>
        </is>
      </c>
      <c r="D45" s="6" t="inlineStr">
        <is>
          <t>Completed</t>
        </is>
      </c>
      <c r="E45" s="6" t="inlineStr">
        <is>
          <t>Pending</t>
        </is>
      </c>
      <c r="F45" s="6" t="inlineStr">
        <is>
          <t>Revenue</t>
        </is>
      </c>
    </row>
    <row r="46">
      <c r="A46" s="32" t="inlineStr">
        <is>
          <t>Indiranagar</t>
        </is>
      </c>
      <c r="B46" s="11">
        <f>COUNTIF('Lead Tracker'!J4:J1000,A46)</f>
        <v/>
      </c>
      <c r="C46" s="11">
        <f>COUNTIFS('Lead Tracker'!J4:J1000,A46,'Lead Tracker'!AB4:AB1000,"Confirmed")</f>
        <v/>
      </c>
      <c r="D46" s="11">
        <f>COUNTIFS('Lead Tracker'!J4:J1000,A46,'Lead Tracker'!AB4:AB1000,"Completed")</f>
        <v/>
      </c>
      <c r="E46" s="11">
        <f>COUNTIFS('Lead Tracker'!J4:J1000,A46,'Lead Tracker'!AB4:AB1000,"Pending")</f>
        <v/>
      </c>
      <c r="F46" s="13">
        <f>SUMPRODUCT(('Lead Tracker'!J4:J1000=A46)*('Lead Tracker'!AN4:AN1000="Received")*('Lead Tracker'!AM4:AM1000))</f>
        <v/>
      </c>
    </row>
    <row r="47">
      <c r="A47" s="32" t="inlineStr">
        <is>
          <t>Koramangala</t>
        </is>
      </c>
      <c r="B47" s="11">
        <f>COUNTIF('Lead Tracker'!J4:J1000,A47)</f>
        <v/>
      </c>
      <c r="C47" s="11">
        <f>COUNTIFS('Lead Tracker'!J4:J1000,A47,'Lead Tracker'!AB4:AB1000,"Confirmed")</f>
        <v/>
      </c>
      <c r="D47" s="11">
        <f>COUNTIFS('Lead Tracker'!J4:J1000,A47,'Lead Tracker'!AB4:AB1000,"Completed")</f>
        <v/>
      </c>
      <c r="E47" s="11">
        <f>COUNTIFS('Lead Tracker'!J4:J1000,A47,'Lead Tracker'!AB4:AB1000,"Pending")</f>
        <v/>
      </c>
      <c r="F47" s="13">
        <f>SUMPRODUCT(('Lead Tracker'!J4:J1000=A47)*('Lead Tracker'!AN4:AN1000="Received")*('Lead Tracker'!AM4:AM1000))</f>
        <v/>
      </c>
    </row>
    <row r="48">
      <c r="A48" s="32" t="inlineStr">
        <is>
          <t>HSR Layout</t>
        </is>
      </c>
      <c r="B48" s="11">
        <f>COUNTIF('Lead Tracker'!J4:J1000,A48)</f>
        <v/>
      </c>
      <c r="C48" s="11">
        <f>COUNTIFS('Lead Tracker'!J4:J1000,A48,'Lead Tracker'!AB4:AB1000,"Confirmed")</f>
        <v/>
      </c>
      <c r="D48" s="11">
        <f>COUNTIFS('Lead Tracker'!J4:J1000,A48,'Lead Tracker'!AB4:AB1000,"Completed")</f>
        <v/>
      </c>
      <c r="E48" s="11">
        <f>COUNTIFS('Lead Tracker'!J4:J1000,A48,'Lead Tracker'!AB4:AB1000,"Pending")</f>
        <v/>
      </c>
      <c r="F48" s="13">
        <f>SUMPRODUCT(('Lead Tracker'!J4:J1000=A48)*('Lead Tracker'!AN4:AN1000="Received")*('Lead Tracker'!AM4:AM1000))</f>
        <v/>
      </c>
    </row>
    <row r="49">
      <c r="A49" s="32" t="inlineStr">
        <is>
          <t>Whitefield</t>
        </is>
      </c>
      <c r="B49" s="11">
        <f>COUNTIF('Lead Tracker'!J4:J1000,A49)</f>
        <v/>
      </c>
      <c r="C49" s="11">
        <f>COUNTIFS('Lead Tracker'!J4:J1000,A49,'Lead Tracker'!AB4:AB1000,"Confirmed")</f>
        <v/>
      </c>
      <c r="D49" s="11">
        <f>COUNTIFS('Lead Tracker'!J4:J1000,A49,'Lead Tracker'!AB4:AB1000,"Completed")</f>
        <v/>
      </c>
      <c r="E49" s="11">
        <f>COUNTIFS('Lead Tracker'!J4:J1000,A49,'Lead Tracker'!AB4:AB1000,"Pending")</f>
        <v/>
      </c>
      <c r="F49" s="13">
        <f>SUMPRODUCT(('Lead Tracker'!J4:J1000=A49)*('Lead Tracker'!AN4:AN1000="Received")*('Lead Tracker'!AM4:AM1000))</f>
        <v/>
      </c>
    </row>
    <row r="50">
      <c r="A50" s="32" t="inlineStr">
        <is>
          <t>JP Nagar</t>
        </is>
      </c>
      <c r="B50" s="11">
        <f>COUNTIF('Lead Tracker'!J4:J1000,A50)</f>
        <v/>
      </c>
      <c r="C50" s="11">
        <f>COUNTIFS('Lead Tracker'!J4:J1000,A50,'Lead Tracker'!AB4:AB1000,"Confirmed")</f>
        <v/>
      </c>
      <c r="D50" s="11">
        <f>COUNTIFS('Lead Tracker'!J4:J1000,A50,'Lead Tracker'!AB4:AB1000,"Completed")</f>
        <v/>
      </c>
      <c r="E50" s="11">
        <f>COUNTIFS('Lead Tracker'!J4:J1000,A50,'Lead Tracker'!AB4:AB1000,"Pending")</f>
        <v/>
      </c>
      <c r="F50" s="13">
        <f>SUMPRODUCT(('Lead Tracker'!J4:J1000=A50)*('Lead Tracker'!AN4:AN1000="Received")*('Lead Tracker'!AM4:AM1000))</f>
        <v/>
      </c>
    </row>
    <row r="51">
      <c r="A51" s="32" t="inlineStr">
        <is>
          <t>BTM Layout</t>
        </is>
      </c>
      <c r="B51" s="11">
        <f>COUNTIF('Lead Tracker'!J4:J1000,A51)</f>
        <v/>
      </c>
      <c r="C51" s="11">
        <f>COUNTIFS('Lead Tracker'!J4:J1000,A51,'Lead Tracker'!AB4:AB1000,"Confirmed")</f>
        <v/>
      </c>
      <c r="D51" s="11">
        <f>COUNTIFS('Lead Tracker'!J4:J1000,A51,'Lead Tracker'!AB4:AB1000,"Completed")</f>
        <v/>
      </c>
      <c r="E51" s="11">
        <f>COUNTIFS('Lead Tracker'!J4:J1000,A51,'Lead Tracker'!AB4:AB1000,"Pending")</f>
        <v/>
      </c>
      <c r="F51" s="13">
        <f>SUMPRODUCT(('Lead Tracker'!J4:J1000=A51)*('Lead Tracker'!AN4:AN1000="Received")*('Lead Tracker'!AM4:AM1000))</f>
        <v/>
      </c>
    </row>
    <row r="52">
      <c r="A52" s="32" t="inlineStr">
        <is>
          <t>Electronic City</t>
        </is>
      </c>
      <c r="B52" s="11">
        <f>COUNTIF('Lead Tracker'!J4:J1000,A52)</f>
        <v/>
      </c>
      <c r="C52" s="11">
        <f>COUNTIFS('Lead Tracker'!J4:J1000,A52,'Lead Tracker'!AB4:AB1000,"Confirmed")</f>
        <v/>
      </c>
      <c r="D52" s="11">
        <f>COUNTIFS('Lead Tracker'!J4:J1000,A52,'Lead Tracker'!AB4:AB1000,"Completed")</f>
        <v/>
      </c>
      <c r="E52" s="11">
        <f>COUNTIFS('Lead Tracker'!J4:J1000,A52,'Lead Tracker'!AB4:AB1000,"Pending")</f>
        <v/>
      </c>
      <c r="F52" s="13">
        <f>SUMPRODUCT(('Lead Tracker'!J4:J1000=A52)*('Lead Tracker'!AN4:AN1000="Received")*('Lead Tracker'!AM4:AM1000))</f>
        <v/>
      </c>
    </row>
    <row r="53">
      <c r="A53" s="32" t="inlineStr">
        <is>
          <t>MG Road</t>
        </is>
      </c>
      <c r="B53" s="11">
        <f>COUNTIF('Lead Tracker'!J4:J1000,A53)</f>
        <v/>
      </c>
      <c r="C53" s="11">
        <f>COUNTIFS('Lead Tracker'!J4:J1000,A53,'Lead Tracker'!AB4:AB1000,"Confirmed")</f>
        <v/>
      </c>
      <c r="D53" s="11">
        <f>COUNTIFS('Lead Tracker'!J4:J1000,A53,'Lead Tracker'!AB4:AB1000,"Completed")</f>
        <v/>
      </c>
      <c r="E53" s="11">
        <f>COUNTIFS('Lead Tracker'!J4:J1000,A53,'Lead Tracker'!AB4:AB1000,"Pending")</f>
        <v/>
      </c>
      <c r="F53" s="13">
        <f>SUMPRODUCT(('Lead Tracker'!J4:J1000=A53)*('Lead Tracker'!AN4:AN1000="Received")*('Lead Tracker'!AM4:AM1000))</f>
        <v/>
      </c>
    </row>
    <row r="54">
      <c r="A54" s="32" t="inlineStr">
        <is>
          <t>Marathahalli</t>
        </is>
      </c>
      <c r="B54" s="11">
        <f>COUNTIF('Lead Tracker'!J4:J1000,A54)</f>
        <v/>
      </c>
      <c r="C54" s="11">
        <f>COUNTIFS('Lead Tracker'!J4:J1000,A54,'Lead Tracker'!AB4:AB1000,"Confirmed")</f>
        <v/>
      </c>
      <c r="D54" s="11">
        <f>COUNTIFS('Lead Tracker'!J4:J1000,A54,'Lead Tracker'!AB4:AB1000,"Completed")</f>
        <v/>
      </c>
      <c r="E54" s="11">
        <f>COUNTIFS('Lead Tracker'!J4:J1000,A54,'Lead Tracker'!AB4:AB1000,"Pending")</f>
        <v/>
      </c>
      <c r="F54" s="13">
        <f>SUMPRODUCT(('Lead Tracker'!J4:J1000=A54)*('Lead Tracker'!AN4:AN1000="Received")*('Lead Tracker'!AM4:AM1000))</f>
        <v/>
      </c>
    </row>
    <row r="55">
      <c r="A55" s="32" t="inlineStr">
        <is>
          <t>Banashankari</t>
        </is>
      </c>
      <c r="B55" s="11">
        <f>COUNTIF('Lead Tracker'!J4:J1000,A55)</f>
        <v/>
      </c>
      <c r="C55" s="11">
        <f>COUNTIFS('Lead Tracker'!J4:J1000,A55,'Lead Tracker'!AB4:AB1000,"Confirmed")</f>
        <v/>
      </c>
      <c r="D55" s="11">
        <f>COUNTIFS('Lead Tracker'!J4:J1000,A55,'Lead Tracker'!AB4:AB1000,"Completed")</f>
        <v/>
      </c>
      <c r="E55" s="11">
        <f>COUNTIFS('Lead Tracker'!J4:J1000,A55,'Lead Tracker'!AB4:AB1000,"Pending")</f>
        <v/>
      </c>
      <c r="F55" s="13">
        <f>SUMPRODUCT(('Lead Tracker'!J4:J1000=A55)*('Lead Tracker'!AN4:AN1000="Received")*('Lead Tracker'!AM4:AM1000))</f>
        <v/>
      </c>
    </row>
    <row r="56">
      <c r="A56" s="32" t="inlineStr">
        <is>
          <t>Other</t>
        </is>
      </c>
      <c r="B56" s="11">
        <f>COUNTIF('Lead Tracker'!J4:J1000,A56)</f>
        <v/>
      </c>
      <c r="C56" s="11">
        <f>COUNTIFS('Lead Tracker'!J4:J1000,A56,'Lead Tracker'!AB4:AB1000,"Confirmed")</f>
        <v/>
      </c>
      <c r="D56" s="11">
        <f>COUNTIFS('Lead Tracker'!J4:J1000,A56,'Lead Tracker'!AB4:AB1000,"Completed")</f>
        <v/>
      </c>
      <c r="E56" s="11">
        <f>COUNTIFS('Lead Tracker'!J4:J1000,A56,'Lead Tracker'!AB4:AB1000,"Pending")</f>
        <v/>
      </c>
      <c r="F56" s="13">
        <f>SUMPRODUCT(('Lead Tracker'!J4:J1000=A56)*('Lead Tracker'!AN4:AN1000="Received")*('Lead Tracker'!AM4:AM1000))</f>
        <v/>
      </c>
    </row>
    <row r="57">
      <c r="A57" s="6" t="inlineStr">
        <is>
          <t>TOTAL</t>
        </is>
      </c>
      <c r="B57" s="33">
        <f>SUM(B46:B56)</f>
        <v/>
      </c>
      <c r="C57" s="33">
        <f>SUM(C46:C56)</f>
        <v/>
      </c>
      <c r="D57" s="33">
        <f>SUM(D46:D56)</f>
        <v/>
      </c>
      <c r="E57" s="33">
        <f>SUM(E46:E56)</f>
        <v/>
      </c>
      <c r="F57" s="34">
        <f>SUM(F46:F56)</f>
        <v/>
      </c>
    </row>
    <row r="59">
      <c r="A59" s="22" t="inlineStr">
        <is>
          <t>DATE-WISE REPORT</t>
        </is>
      </c>
    </row>
    <row r="60">
      <c r="A60" s="35" t="inlineStr">
        <is>
          <t>From Date</t>
        </is>
      </c>
      <c r="B60" s="36" t="n"/>
      <c r="C60" s="35" t="inlineStr">
        <is>
          <t>To Date</t>
        </is>
      </c>
      <c r="D60" s="36" t="n"/>
      <c r="F60" s="37" t="inlineStr">
        <is>
          <t>← Click yellow cells for calendar in Google Sheets</t>
        </is>
      </c>
    </row>
    <row r="61">
      <c r="A61" s="6" t="inlineStr">
        <is>
          <t>Orders in Range</t>
        </is>
      </c>
      <c r="B61" s="6" t="inlineStr">
        <is>
          <t>Confirmed</t>
        </is>
      </c>
      <c r="C61" s="6" t="inlineStr">
        <is>
          <t>Completed</t>
        </is>
      </c>
      <c r="D61" s="6" t="inlineStr">
        <is>
          <t>Pending</t>
        </is>
      </c>
      <c r="E61" s="6" t="inlineStr">
        <is>
          <t>Cancelled</t>
        </is>
      </c>
      <c r="F61" s="6" t="inlineStr">
        <is>
          <t>Revenue</t>
        </is>
      </c>
      <c r="G61" s="6" t="inlineStr">
        <is>
          <t>Pending Payments</t>
        </is>
      </c>
    </row>
    <row r="62" ht="45" customHeight="1">
      <c r="A62" s="38">
        <f>IF(OR(B60="",D60=""),"Enter dates",SUMPRODUCT((INT('Lead Tracker'!B4:B1000)&gt;=B60)*(INT('Lead Tracker'!B4:B1000)&lt;=D60)*('Lead Tracker'!B4:B1000&lt;&gt;"")))</f>
        <v/>
      </c>
      <c r="B62" s="39">
        <f>IF(OR(B60="",D60=""),"",SUMPRODUCT((INT('Lead Tracker'!B4:B1000)&gt;=B60)*(INT('Lead Tracker'!B4:B1000)&lt;=D60)*('Lead Tracker'!AB4:AB1000="Confirmed")))</f>
        <v/>
      </c>
      <c r="C62" s="38">
        <f>IF(OR(B60="",D60=""),"",SUMPRODUCT((INT('Lead Tracker'!B4:B1000)&gt;=B60)*(INT('Lead Tracker'!B4:B1000)&lt;=D60)*('Lead Tracker'!AB4:AB1000="Completed")))</f>
        <v/>
      </c>
      <c r="D62" s="40">
        <f>IF(OR(B60="",D60=""),"",SUMPRODUCT((INT('Lead Tracker'!B4:B1000)&gt;=B60)*(INT('Lead Tracker'!B4:B1000)&lt;=D60)*('Lead Tracker'!AB4:AB1000="Pending")))</f>
        <v/>
      </c>
      <c r="E62" s="41">
        <f>IF(OR(B60="",D60=""),"",SUMPRODUCT((INT('Lead Tracker'!B4:B1000)&gt;=B60)*(INT('Lead Tracker'!B4:B1000)&lt;=D60)*('Lead Tracker'!AB4:AB1000="Cancelled")))</f>
        <v/>
      </c>
      <c r="F62" s="42">
        <f>IF(OR(B60="",D60=""),"",SUMPRODUCT((INT('Lead Tracker'!B4:B1000)&gt;=B60)*(INT('Lead Tracker'!B4:B1000)&lt;=D60)*('Lead Tracker'!AN4:AN1000="Received")*('Lead Tracker'!AM4:AM1000)))</f>
        <v/>
      </c>
      <c r="G62" s="43">
        <f>IF(OR(B60="",D60=""),"",SUMPRODUCT((INT('Lead Tracker'!B4:B1000)&gt;=B60)*(INT('Lead Tracker'!B4:B1000)&lt;=D60)*('Lead Tracker'!AN4:AN1000="Pending")*('Lead Tracker'!AM4:AM1000)))</f>
        <v/>
      </c>
    </row>
  </sheetData>
  <mergeCells count="9">
    <mergeCell ref="A30:H30"/>
    <mergeCell ref="A59:H59"/>
    <mergeCell ref="A44:F44"/>
    <mergeCell ref="A6:G6"/>
    <mergeCell ref="A14:C14"/>
    <mergeCell ref="A2:N2"/>
    <mergeCell ref="A10:H10"/>
    <mergeCell ref="A18:E18"/>
    <mergeCell ref="A1:N1"/>
  </mergeCells>
  <dataValidations count="2">
    <dataValidation sqref="B60" showDropDown="0" showInputMessage="1" showErrorMessage="1" allowBlank="1" errorTitle="Invalid Date" error="Please select a valid date" promptTitle="Select Date" prompt="Click to open calendar picker" type="date" operator="between">
      <formula1>2020-01-01</formula1>
      <formula2>2035-12-31</formula2>
    </dataValidation>
    <dataValidation sqref="D60" showDropDown="0" showInputMessage="1" showErrorMessage="1" allowBlank="1" errorTitle="Invalid Date" error="Please select a valid date" promptTitle="Select Date" prompt="Click to open calendar picker" type="date" operator="between">
      <formula1>2020-01-01</formula1>
      <formula2>2035-12-31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</cols>
  <sheetData>
    <row r="1" ht="40" customHeight="1">
      <c r="A1" s="1" t="inlineStr">
        <is>
          <t>GOOGLE FORM — FIELD REFERENCE</t>
        </is>
      </c>
    </row>
    <row r="2" ht="28" customHeight="1">
      <c r="A2" s="5" t="inlineStr">
        <is>
          <t>Use this as a reference when creating your Google Form for lead capture</t>
        </is>
      </c>
    </row>
    <row r="3">
      <c r="A3" s="6" t="inlineStr">
        <is>
          <t>Field Name</t>
        </is>
      </c>
      <c r="B3" s="6" t="inlineStr">
        <is>
          <t>Field Type</t>
        </is>
      </c>
      <c r="C3" s="6" t="inlineStr">
        <is>
          <t>Options / Notes</t>
        </is>
      </c>
    </row>
    <row r="4">
      <c r="A4" s="32" t="inlineStr">
        <is>
          <t>Customer Name</t>
        </is>
      </c>
      <c r="B4" s="44" t="inlineStr">
        <is>
          <t>Short Answer</t>
        </is>
      </c>
      <c r="C4" s="45" t="inlineStr">
        <is>
          <t>Required. Full name of the customer.</t>
        </is>
      </c>
    </row>
    <row r="5">
      <c r="A5" s="46" t="inlineStr">
        <is>
          <t>Phone Number</t>
        </is>
      </c>
      <c r="B5" s="47" t="inlineStr">
        <is>
          <t>Short Answer</t>
        </is>
      </c>
      <c r="C5" s="48" t="inlineStr">
        <is>
          <t>Required. Primary contact number (10 digits).</t>
        </is>
      </c>
    </row>
    <row r="6">
      <c r="A6" s="32" t="inlineStr">
        <is>
          <t>WhatsApp Number</t>
        </is>
      </c>
      <c r="B6" s="44" t="inlineStr">
        <is>
          <t>Short Answer</t>
        </is>
      </c>
      <c r="C6" s="45" t="inlineStr">
        <is>
          <t>Optional. WhatsApp contact if different from phone.</t>
        </is>
      </c>
    </row>
    <row r="7">
      <c r="A7" s="46" t="inlineStr">
        <is>
          <t>Alternate Phone</t>
        </is>
      </c>
      <c r="B7" s="47" t="inlineStr">
        <is>
          <t>Short Answer</t>
        </is>
      </c>
      <c r="C7" s="48" t="inlineStr">
        <is>
          <t>Optional. Secondary contact number.</t>
        </is>
      </c>
    </row>
    <row r="8">
      <c r="A8" s="32" t="inlineStr">
        <is>
          <t>Email</t>
        </is>
      </c>
      <c r="B8" s="44" t="inlineStr">
        <is>
          <t>Short Answer</t>
        </is>
      </c>
      <c r="C8" s="45" t="inlineStr">
        <is>
          <t>Optional. Customer email for invoices/updates.</t>
        </is>
      </c>
    </row>
    <row r="9">
      <c r="A9" s="46" t="inlineStr">
        <is>
          <t>City</t>
        </is>
      </c>
      <c r="B9" s="47" t="inlineStr">
        <is>
          <t>Dropdown</t>
        </is>
      </c>
      <c r="C9" s="48" t="inlineStr">
        <is>
          <t>Bangalore,Mumbai,Delhi,Hyderabad,Chennai,Pune,Other</t>
        </is>
      </c>
    </row>
    <row r="10">
      <c r="A10" s="32" t="inlineStr">
        <is>
          <t>Area / Locality</t>
        </is>
      </c>
      <c r="B10" s="44" t="inlineStr">
        <is>
          <t>Short Answer</t>
        </is>
      </c>
      <c r="C10" s="45" t="inlineStr">
        <is>
          <t>e.g. Indiranagar, Koramangala, HSR Layout, Whitefield, JP Nagar</t>
        </is>
      </c>
    </row>
    <row r="11">
      <c r="A11" s="46" t="inlineStr">
        <is>
          <t>Full Address</t>
        </is>
      </c>
      <c r="B11" s="47" t="inlineStr">
        <is>
          <t>Paragraph</t>
        </is>
      </c>
      <c r="C11" s="48" t="inlineStr">
        <is>
          <t>Complete address with landmark and pincode.</t>
        </is>
      </c>
    </row>
    <row r="12">
      <c r="A12" s="32" t="inlineStr">
        <is>
          <t>BHK</t>
        </is>
      </c>
      <c r="B12" s="44" t="inlineStr">
        <is>
          <t>Dropdown</t>
        </is>
      </c>
      <c r="C12" s="45" t="inlineStr">
        <is>
          <t>1BHK,2BHK,3BHK,4BHK,4+BHK,Not Applicable</t>
        </is>
      </c>
    </row>
    <row r="13">
      <c r="A13" s="46" t="inlineStr">
        <is>
          <t>SQFT (Approx)</t>
        </is>
      </c>
      <c r="B13" s="47" t="inlineStr">
        <is>
          <t>Short Answer</t>
        </is>
      </c>
      <c r="C13" s="48" t="inlineStr">
        <is>
          <t>Approximate area in square feet.</t>
        </is>
      </c>
    </row>
    <row r="14">
      <c r="A14" s="32" t="inlineStr">
        <is>
          <t>Service 1</t>
        </is>
      </c>
      <c r="B14" s="44" t="inlineStr">
        <is>
          <t>Dropdown</t>
        </is>
      </c>
      <c r="C14" s="45" t="inlineStr">
        <is>
          <t>Bathroom Cleaning,Kitchen Cleaning,Full Home Cleaning,Rental Property Cleaning,Ready to Move In Cleaning,Painting,Pest Control,Plumbing,Electrician,Other</t>
        </is>
      </c>
    </row>
    <row r="15">
      <c r="A15" s="46" t="inlineStr">
        <is>
          <t>Service 2</t>
        </is>
      </c>
      <c r="B15" s="47" t="inlineStr">
        <is>
          <t>Dropdown</t>
        </is>
      </c>
      <c r="C15" s="48" t="inlineStr">
        <is>
          <t>Optional. Bathroom Cleaning,Kitchen Cleaning,Full Home Cleaning,Rental Property Cleaning,Ready to Move In Cleaning,Painting,Pest Control,Plumbing,Electrician,Other</t>
        </is>
      </c>
    </row>
    <row r="16">
      <c r="A16" s="32" t="inlineStr">
        <is>
          <t>Service 3</t>
        </is>
      </c>
      <c r="B16" s="44" t="inlineStr">
        <is>
          <t>Dropdown</t>
        </is>
      </c>
      <c r="C16" s="45" t="inlineStr">
        <is>
          <t>Optional. Bathroom Cleaning,Kitchen Cleaning,Full Home Cleaning,Rental Property Cleaning,Ready to Move In Cleaning,Painting,Pest Control,Plumbing,Electrician,Other</t>
        </is>
      </c>
    </row>
    <row r="17">
      <c r="A17" s="46" t="inlineStr">
        <is>
          <t>Service 4</t>
        </is>
      </c>
      <c r="B17" s="47" t="inlineStr">
        <is>
          <t>Dropdown</t>
        </is>
      </c>
      <c r="C17" s="48" t="inlineStr">
        <is>
          <t>Optional. Bathroom Cleaning,Kitchen Cleaning,Full Home Cleaning,Rental Property Cleaning,Ready to Move In Cleaning,Painting,Pest Control,Plumbing,Electrician,Other</t>
        </is>
      </c>
    </row>
    <row r="18">
      <c r="A18" s="32" t="inlineStr">
        <is>
          <t>Preferred Date</t>
        </is>
      </c>
      <c r="B18" s="44" t="inlineStr">
        <is>
          <t>Date</t>
        </is>
      </c>
      <c r="C18" s="45" t="inlineStr">
        <is>
          <t>Customer's preferred service date.</t>
        </is>
      </c>
    </row>
    <row r="19">
      <c r="A19" s="46" t="inlineStr">
        <is>
          <t>Time Slot</t>
        </is>
      </c>
      <c r="B19" s="47" t="inlineStr">
        <is>
          <t>Dropdown</t>
        </is>
      </c>
      <c r="C19" s="48" t="inlineStr">
        <is>
          <t>Morning 8-10,Morning 10-12,Afternoon 12-2,Afternoon 2-4,Evening 4-6,Evening 6-8</t>
        </is>
      </c>
    </row>
    <row r="20">
      <c r="A20" s="32" t="inlineStr">
        <is>
          <t>Order Source</t>
        </is>
      </c>
      <c r="B20" s="44" t="inlineStr">
        <is>
          <t>Dropdown</t>
        </is>
      </c>
      <c r="C20" s="45" t="inlineStr">
        <is>
          <t>Website,Instagram,JustDial,Google,Referral,WhatsApp,Walk-in,Other</t>
        </is>
      </c>
    </row>
    <row r="21">
      <c r="A21" s="46" t="inlineStr">
        <is>
          <t>Special Instructions</t>
        </is>
      </c>
      <c r="B21" s="47" t="inlineStr">
        <is>
          <t>Paragraph</t>
        </is>
      </c>
      <c r="C21" s="48" t="inlineStr">
        <is>
          <t>Any special requirements or notes from the customer.</t>
        </is>
      </c>
    </row>
    <row r="23">
      <c r="A23" s="22" t="inlineStr">
        <is>
          <t>HOW TO LINK GOOGLE FORM</t>
        </is>
      </c>
    </row>
    <row r="24" ht="22" customHeight="1">
      <c r="A24" s="49" t="inlineStr">
        <is>
          <t>1. Create a new Google Form at forms.google.com with the fields listed above.</t>
        </is>
      </c>
    </row>
    <row r="25" ht="22" customHeight="1">
      <c r="A25" s="49" t="inlineStr">
        <is>
          <t>2. Go to Responses tab in the Form &gt; Click the Google Sheets icon to link responses.</t>
        </is>
      </c>
    </row>
    <row r="26" ht="22" customHeight="1">
      <c r="A26" s="49" t="inlineStr">
        <is>
          <t>3. A new response sheet is created automatically in Google Sheets.</t>
        </is>
      </c>
    </row>
    <row r="27" ht="22" customHeight="1">
      <c r="A27" s="49" t="inlineStr">
        <is>
          <t>4. In the Lead Tracker sheet, use IMPORTRANGE or copy-paste data from the response sheet.</t>
        </is>
      </c>
    </row>
    <row r="28" ht="22" customHeight="1">
      <c r="A28" s="49" t="inlineStr">
        <is>
          <t>5. Example: =IMPORTRANGE("spreadsheet_url", "Form Responses 1!A2:R100")</t>
        </is>
      </c>
    </row>
    <row r="29" ht="22" customHeight="1">
      <c r="A29" s="49" t="inlineStr">
        <is>
          <t>6. Map the form fields to the correct Lead Tracker columns (D, E, F, G, H, I, J, K, L, M, N, P, R, T, Y, Z, AA).</t>
        </is>
      </c>
    </row>
    <row r="30" ht="22" customHeight="1">
      <c r="A30" s="49" t="inlineStr">
        <is>
          <t>7. The Order ID (C), S.No (A), Total Value (V), Discounted Total (X), Pending Balance (AL), and Invoice (AQ) auto-populate.</t>
        </is>
      </c>
    </row>
    <row r="31" ht="22" customHeight="1">
      <c r="A31" s="49" t="inlineStr">
        <is>
          <t>8. Manually update: Order Status (AB), Vendor details (AD-AF), Payment info (AJ-AO), etc.</t>
        </is>
      </c>
    </row>
  </sheetData>
  <mergeCells count="11">
    <mergeCell ref="A25:C25"/>
    <mergeCell ref="A28:C28"/>
    <mergeCell ref="A1:C1"/>
    <mergeCell ref="A23:C23"/>
    <mergeCell ref="A31:C31"/>
    <mergeCell ref="A27:C27"/>
    <mergeCell ref="A30:C30"/>
    <mergeCell ref="A29:C29"/>
    <mergeCell ref="A26:C26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2026-01-27T18:21:01Z</dcterms:created>
  <dcterms:modified xmlns:dcterms="http://purl.org/dc/terms/" xmlns:xsi="http://www.w3.org/2001/XMLSchema-instance" xsi:type="dcterms:W3CDTF">2026-01-27T18:21:02Z</dcterms:modified>
</cp:coreProperties>
</file>